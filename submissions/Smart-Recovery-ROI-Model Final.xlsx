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Assumptions" sheetId="1" r:id="rId4"/>
    <sheet state="visible" name="2. Baseline Metrics" sheetId="2" r:id="rId5"/>
    <sheet state="visible" name="3. Opportunities" sheetId="3" r:id="rId6"/>
    <sheet state="visible" name="4. Calculations" sheetId="4" r:id="rId7"/>
    <sheet state="visible" name="5. ROI Summary" sheetId="5" r:id="rId8"/>
  </sheets>
  <definedNames/>
  <calcPr/>
  <extLst>
    <ext uri="GoogleSheetsCustomDataVersion2">
      <go:sheetsCustomData xmlns:go="http://customooxmlschemas.google.com/" r:id="rId9" roundtripDataChecksum="+cDjfQJfvzG+Wu+ybB/KZ82phAMqOnX9NflBiAj8SDg="/>
    </ext>
  </extLst>
</workbook>
</file>

<file path=xl/sharedStrings.xml><?xml version="1.0" encoding="utf-8"?>
<sst xmlns="http://schemas.openxmlformats.org/spreadsheetml/2006/main" count="526" uniqueCount="316">
  <si>
    <t>SMART-RECOVERY INITIATIVE — ROI MODEL</t>
  </si>
  <si>
    <t>Tab 1: Assumptions Register</t>
  </si>
  <si>
    <t>Blue text = hardcoded input  |  Black text = formula  |  Yellow bg = key assumption requiring attention</t>
  </si>
  <si>
    <t>Assumption</t>
  </si>
  <si>
    <t>Value</t>
  </si>
  <si>
    <t>Unit</t>
  </si>
  <si>
    <t>Source</t>
  </si>
  <si>
    <t>Confidence</t>
  </si>
  <si>
    <t>Notes</t>
  </si>
  <si>
    <t>A. OPERATIONAL COST BENCHMARKS</t>
  </si>
  <si>
    <t>Blended agent cost per hour</t>
  </si>
  <si>
    <t>£/hr</t>
  </si>
  <si>
    <t>finance_assumptions_sample.csv</t>
  </si>
  <si>
    <t>High</t>
  </si>
  <si>
    <t>GBP22.00/hr confirmed by finance. Use for all agent time calculations.</t>
  </si>
  <si>
    <t>Blended agent cost per minute</t>
  </si>
  <si>
    <t>£/min</t>
  </si>
  <si>
    <t>Derived from B7</t>
  </si>
  <si>
    <t>Calculated — do not edit directly.</t>
  </si>
  <si>
    <t>Working days per month</t>
  </si>
  <si>
    <t>days</t>
  </si>
  <si>
    <t>Standard working month assumption from finance.</t>
  </si>
  <si>
    <t>Working hours per day</t>
  </si>
  <si>
    <t>hrs</t>
  </si>
  <si>
    <t>Operational standard</t>
  </si>
  <si>
    <t>Standard working day for collections agents.</t>
  </si>
  <si>
    <t>Total agent working hours per month</t>
  </si>
  <si>
    <t>Derived</t>
  </si>
  <si>
    <t>21 days x 7.5 hrs = 157.5 hrs/agent/month.</t>
  </si>
  <si>
    <t>Number of active agents</t>
  </si>
  <si>
    <t>agents</t>
  </si>
  <si>
    <t>recovery_activity_tracker_sample.csv</t>
  </si>
  <si>
    <t>58 unique agents confirmed in activity tracker sample.</t>
  </si>
  <si>
    <t>Total agent workforce hours per month</t>
  </si>
  <si>
    <t>Total hours across all 58 agents.</t>
  </si>
  <si>
    <t>Current average handling time (all activities)</t>
  </si>
  <si>
    <t>mins</t>
  </si>
  <si>
    <t>7.00 min average handling time confirmed from 9,890 logged activities.</t>
  </si>
  <si>
    <t>Current average handling time (complex/manual cases)</t>
  </si>
  <si>
    <t>18 min current handling time for manual cases per finance assumptions.</t>
  </si>
  <si>
    <t>Target handling time (self-service eligible cases)</t>
  </si>
  <si>
    <t>Medium</t>
  </si>
  <si>
    <t>Finance target of 10 min for straightforward self-service cases.</t>
  </si>
  <si>
    <t>Handling time saving per self-served case</t>
  </si>
  <si>
    <t>8 min saving per case if moved to self-service.</t>
  </si>
  <si>
    <t>Cost saving per self-served case</t>
  </si>
  <si>
    <t>£/case</t>
  </si>
  <si>
    <t>8 min x GBP0.37/min = GBP2.93 per case. Matches finance assumptions.</t>
  </si>
  <si>
    <t>B. PORTFOLIO &amp; BASELINE METRICS</t>
  </si>
  <si>
    <t>Total delinquent account portfolio</t>
  </si>
  <si>
    <t>accounts</t>
  </si>
  <si>
    <t>Case study briefing</t>
  </si>
  <si>
    <t>100,000+ delinquent accounts stated in project briefing.</t>
  </si>
  <si>
    <t>Sample portfolio size (dataset)</t>
  </si>
  <si>
    <t>delinquent_accounts_sample.csv</t>
  </si>
  <si>
    <t>3,246 accounts in the sample dataset used for analysis.</t>
  </si>
  <si>
    <t>Self-service technically eligible (sample rate)</t>
  </si>
  <si>
    <t>rate</t>
  </si>
  <si>
    <t>77.5% flagged eligible by risk_flag=N and delinquency stage. Rules-based.</t>
  </si>
  <si>
    <t>Finance conservative self-service assumption</t>
  </si>
  <si>
    <t>38% working estimate from finance — layers in dropout, channel preference, complexity buffer.</t>
  </si>
  <si>
    <t>Predicted adoption rate (of technically eligible)</t>
  </si>
  <si>
    <t>Daniel Okoye — layered model</t>
  </si>
  <si>
    <t>Low</t>
  </si>
  <si>
    <t>Estimated adoption of eligible accounts. Requires post-launch validation. Daniel Q1.</t>
  </si>
  <si>
    <t>Effective self-service population (portfolio)</t>
  </si>
  <si>
    <t>Derived — 3-layer model</t>
  </si>
  <si>
    <t>Technical eligibility x finance conservative x adoption. Daniel's layered funnel.</t>
  </si>
  <si>
    <t>Monthly recovery baseline</t>
  </si>
  <si>
    <t>£/month</t>
  </si>
  <si>
    <t>GBP8,000,000 monthly recovery baseline confirmed by finance assumptions.</t>
  </si>
  <si>
    <t>Annualised recovery baseline</t>
  </si>
  <si>
    <t>£/year</t>
  </si>
  <si>
    <t>GBP8M x 12 = GBP96M annual portfolio.</t>
  </si>
  <si>
    <t>Missed follow-up rate</t>
  </si>
  <si>
    <t>14% of collection files suffer missed or delayed touchpoints. Finance estimate.</t>
  </si>
  <si>
    <t>Monthly revenue at risk from missed follow-ups</t>
  </si>
  <si>
    <t>14% of GBP8M = GBP1.12M/month leaking from portfolio.</t>
  </si>
  <si>
    <t>Annual revenue at risk from missed follow-ups</t>
  </si>
  <si>
    <t>GBP1.12M x 12 = GBP13.44M annualised leakage.</t>
  </si>
  <si>
    <t>C. REVENUE UPLIFT ASSUMPTIONS — LOW CONFIDENCE: SENSITIVITY TESTING MANDATORY</t>
  </si>
  <si>
    <t>Plan selection uplift — base assumption</t>
  </si>
  <si>
    <t>%</t>
  </si>
  <si>
    <t>Finance rated LOW confidence. Drives GBP320k/month at base. Must be sensitivity tested.</t>
  </si>
  <si>
    <t>Plan selection uplift — conservative scenario</t>
  </si>
  <si>
    <t>Sensitivity assumption</t>
  </si>
  <si>
    <t>50% haircut on base assumption for conservative scenario.</t>
  </si>
  <si>
    <t>Plan selection uplift — floor scenario</t>
  </si>
  <si>
    <t>75% haircut on base assumption for floor/stress scenario.</t>
  </si>
  <si>
    <t>Promise capture uplift — base assumption</t>
  </si>
  <si>
    <t>Finance rated LOW confidence. Drives GBP200k/month at base. Must be sensitivity tested.</t>
  </si>
  <si>
    <t>Promise capture uplift — conservative scenario</t>
  </si>
  <si>
    <t>Promise capture uplift — floor scenario</t>
  </si>
  <si>
    <t>80% haircut on base assumption for floor/stress scenario.</t>
  </si>
  <si>
    <t>Monthly revenue uplift — plan selection (base)</t>
  </si>
  <si>
    <t>GBP8M x 4% = GBP320,000/month at base.</t>
  </si>
  <si>
    <t>Monthly revenue uplift — promise capture (base)</t>
  </si>
  <si>
    <t>GBP8M x 2.5% = GBP200,000/month at base.</t>
  </si>
  <si>
    <t>Annual revenue uplift — combined (base)</t>
  </si>
  <si>
    <t>GBP520k/month x 12 = GBP6.24M/year at base. LOW CONFIDENCE.</t>
  </si>
  <si>
    <t>D. IMPLEMENTATION COST ASSUMPTIONS</t>
  </si>
  <si>
    <t>Low-complexity implementation cost</t>
  </si>
  <si>
    <t>£</t>
  </si>
  <si>
    <t>GBP45,000 for low-complexity technical deployment.</t>
  </si>
  <si>
    <t>Mid-complexity implementation cost</t>
  </si>
  <si>
    <t>GBP85,000 for mid-complexity deployment. Less than 9 days of base plan uplift.</t>
  </si>
  <si>
    <t>Days to recover mid-complexity cost (base)</t>
  </si>
  <si>
    <t>GBP85k / GBP520k monthly uplift x 30 days. Payback in days at base assumptions.</t>
  </si>
  <si>
    <t>Annual ongoing maintenance estimate</t>
  </si>
  <si>
    <t>Planning estimate</t>
  </si>
  <si>
    <t>Indicative ongoing maintenance cost. Not in finance assumptions — flag as estimate.</t>
  </si>
  <si>
    <t>SMART-RECOVERY INITIATIVE — BASELINE METRICS</t>
  </si>
  <si>
    <t>Tab 2: Current-State Operational Baseline</t>
  </si>
  <si>
    <t>All figures drawn from confirmed datasets. Directional estimates noted explicitly.</t>
  </si>
  <si>
    <t>Metric</t>
  </si>
  <si>
    <t>Source / Note</t>
  </si>
  <si>
    <t>PORTFOLIO SCALE</t>
  </si>
  <si>
    <t>Total delinquent accounts (portfolio)</t>
  </si>
  <si>
    <t>Case study briefing — portfolio total</t>
  </si>
  <si>
    <t>Total delinquent accounts (sample)</t>
  </si>
  <si>
    <t>Total outstanding portfolio balance</t>
  </si>
  <si>
    <t>delinquent_accounts_sample.csv — sample figure</t>
  </si>
  <si>
    <t>Total overdue amount (sample)</t>
  </si>
  <si>
    <t>Average days past due</t>
  </si>
  <si>
    <t>Average outstanding balance per account</t>
  </si>
  <si>
    <t>SELF-SERVICE ELIGIBILITY</t>
  </si>
  <si>
    <t>Self-service eligible accounts (sample rate)</t>
  </si>
  <si>
    <t>delinquent_accounts_sample.csv — rules-based flag</t>
  </si>
  <si>
    <t>Self-service eligible accounts (portfolio estimate)</t>
  </si>
  <si>
    <t>Derived — apply sample rate to portfolio</t>
  </si>
  <si>
    <t>Finance conservative self-service estimate</t>
  </si>
  <si>
    <t>finance_assumptions_sample.csv — includes dropout buffer</t>
  </si>
  <si>
    <t>Gap — technical eligibility vs finance estimate</t>
  </si>
  <si>
    <t>pp</t>
  </si>
  <si>
    <t>38% vs 77.5% — Daniel Q1 explains 3-layer haircut</t>
  </si>
  <si>
    <t>Effective portal addressable population</t>
  </si>
  <si>
    <t>3-layer model: eligibility x conservative x adoption</t>
  </si>
  <si>
    <t>OPERATIONAL WASTE — ACTIVITY TRACKER</t>
  </si>
  <si>
    <t>Total activities logged (sample)</t>
  </si>
  <si>
    <t>activities</t>
  </si>
  <si>
    <t>Total manual effort (sample)</t>
  </si>
  <si>
    <t>hours</t>
  </si>
  <si>
    <t>Average handling time per activity</t>
  </si>
  <si>
    <t>Duplicate activities (count)</t>
  </si>
  <si>
    <t>Duplicate activities (rate)</t>
  </si>
  <si>
    <t>recovery_activity_tracker_sample.csv — 20.4% of all activities</t>
  </si>
  <si>
    <t>Hours wasted on duplicate activities</t>
  </si>
  <si>
    <t>recovery_activity_tracker_sample.csv — directional sample figure</t>
  </si>
  <si>
    <t>Cost of duplicate activities</t>
  </si>
  <si>
    <t>Derived: 230.1 hrs x GBP22/hr — sample period only</t>
  </si>
  <si>
    <t>Back-office admin burden (rate)</t>
  </si>
  <si>
    <t>recovery_activity_tracker_sample.csv — 34.2% of hours</t>
  </si>
  <si>
    <t>Back-office admin hours (sample)</t>
  </si>
  <si>
    <t>Cost of back-office admin burden</t>
  </si>
  <si>
    <t>Derived: 394.6 hrs x GBP22/hr — sample period only</t>
  </si>
  <si>
    <t>Spreadsheet reconcile duplicate rate</t>
  </si>
  <si>
    <t>recovery_activity_tracker_sample.csv — 72.3% of 1,458 activities</t>
  </si>
  <si>
    <t>Status check duplicate rate</t>
  </si>
  <si>
    <t>recovery_activity_tracker_sample.csv — 69.0% of 1,400 activities</t>
  </si>
  <si>
    <t>Activities with no follow-up date</t>
  </si>
  <si>
    <t>recovery_activity_tracker_sample.csv — 14.8% at risk of funnel dropout</t>
  </si>
  <si>
    <t>Accounts stuck in Awaiting Follow-Up</t>
  </si>
  <si>
    <t>delinquent_accounts_sample.csv — largest single status backlog</t>
  </si>
  <si>
    <t>Accounts with no status (unassigned)</t>
  </si>
  <si>
    <t>delinquent_accounts_sample.csv — compliance gap</t>
  </si>
  <si>
    <t>FINANCIAL BASELINE</t>
  </si>
  <si>
    <t>Annual recovery baseline</t>
  </si>
  <si>
    <t>Derived: 14% x GBP8M</t>
  </si>
  <si>
    <t>Annual revenue at risk</t>
  </si>
  <si>
    <t>GBP500k operational loss estimate (Amina's team)</t>
  </si>
  <si>
    <t>Operational estimate — Amina Rahman. NOT finance-recognised. Caveat.</t>
  </si>
  <si>
    <t>Triangulation: activity-tracker derived leakage</t>
  </si>
  <si>
    <t>5% of 14% leakage x GBP8M x 12. Directionally consistent with GBP500k. Daniel Q3.</t>
  </si>
  <si>
    <t>SMART-RECOVERY INITIATIVE — OPPORTUNITY REGISTER</t>
  </si>
  <si>
    <t>Tab 3: Automation Opportunity Comparison (6 Options)</t>
  </si>
  <si>
    <t>All cost/benefit figures are estimates. Revenue uplift is LOW CONFIDENCE until portal performance data exists. Hard savings are HIGH CONFIDENCE.</t>
  </si>
  <si>
    <t>#</t>
  </si>
  <si>
    <t>Opportunity</t>
  </si>
  <si>
    <t>Pain Points / JTBD</t>
  </si>
  <si>
    <t>Implementation Cost</t>
  </si>
  <si>
    <t>Annual Hard Saving</t>
  </si>
  <si>
    <t>Annual Revenue Uplift</t>
  </si>
  <si>
    <t>Annual Total Benefit</t>
  </si>
  <si>
    <t>Net Year 1 Benefit</t>
  </si>
  <si>
    <t>Softer Benefits</t>
  </si>
  <si>
    <t>Phase</t>
  </si>
  <si>
    <t>AO-01</t>
  </si>
  <si>
    <t>Promise-to-Pay
Self-Service Capture</t>
  </si>
  <si>
    <t>PP-04, PP-02
JTBD-01, JTBD-04</t>
  </si>
  <si>
    <t>Reduces inbound call volume. Frees agent time for complex cases. Proven 89.9% modelled conversion.</t>
  </si>
  <si>
    <t>Phase 1</t>
  </si>
  <si>
    <t>AO-02</t>
  </si>
  <si>
    <t>Automated Callback
Triggering</t>
  </si>
  <si>
    <t>PP-02, PP-04
JTBD-04, JTBD-03</t>
  </si>
  <si>
    <t>Eliminates 643-account backlog. Reduces 14% missed follow-up rate. No integration required.</t>
  </si>
  <si>
    <t>AO-03</t>
  </si>
  <si>
    <t>Real-Time Status
Synchronisation</t>
  </si>
  <si>
    <t>PP-01, PP-03, PP-05
JTBD-05</t>
  </si>
  <si>
    <t>Eliminates 200-tab spreadsheet. Reduces 72.3% reconcile duplicate rate. Enables all other AOs.</t>
  </si>
  <si>
    <t>Pre-Phase 1</t>
  </si>
  <si>
    <t>AO-04</t>
  </si>
  <si>
    <t>Customer Balance &amp;
Account Summary View</t>
  </si>
  <si>
    <t>PP-09, PP-08
JTBD-01</t>
  </si>
  <si>
    <t>Reduces 3-call average per customer. Increases customer willingness to engage. Portal foundation.</t>
  </si>
  <si>
    <t>AO-05</t>
  </si>
  <si>
    <t>Risk-Based Queue
Prioritisation</t>
  </si>
  <si>
    <t>PP-08, PP-02
JTBD-03</t>
  </si>
  <si>
    <t>High-value accounts contacted first. Measurable improvement in recovery velocity.</t>
  </si>
  <si>
    <t>Phase 2</t>
  </si>
  <si>
    <t>AO-06</t>
  </si>
  <si>
    <t>Automated Follow-Up
Reminder Notifications</t>
  </si>
  <si>
    <t>PP-02, PP-04
JTBD-01, JTBD-04</t>
  </si>
  <si>
    <t>Reduces promise dropout. Compliance sign-off required. Low build cost.</t>
  </si>
  <si>
    <t>Phase 1b</t>
  </si>
  <si>
    <t>SMART-RECOVERY INITIATIVE — SENSITIVITY ANALYSIS</t>
  </si>
  <si>
    <t>Tab 4: Calculations &amp; Scenario Testing</t>
  </si>
  <si>
    <t>Daniel Okoye confirmed: sensitivity matrix is non-negotiable. Both uplift assumptions rated LOW confidence. Hard savings presented separately.</t>
  </si>
  <si>
    <t>A. CONFIRMED HARD SAVINGS — HIGH CONFIDENCE (Defensible with operational data)</t>
  </si>
  <si>
    <t>Saving Category</t>
  </si>
  <si>
    <t>Calculation Basis</t>
  </si>
  <si>
    <t>Annual Value (£)</t>
  </si>
  <si>
    <t>Duplicate activity elimination</t>
  </si>
  <si>
    <t>230.1 hrs x GBP22/hr x 12 periods</t>
  </si>
  <si>
    <t>activity_tracker_sample.csv</t>
  </si>
  <si>
    <t>Sample-period figure — directional. Annualised using 12 periods.</t>
  </si>
  <si>
    <t>Back-office admin burden reduction (50% target)</t>
  </si>
  <si>
    <t>394.6 hrs x GBP22/hr x 12 x 50% reduction</t>
  </si>
  <si>
    <t>Conservative 50% reduction target. Full elimination not assumed in Year 1.</t>
  </si>
  <si>
    <t>Handling time saving per self-served case (AO-01/04)</t>
  </si>
  <si>
    <t>8 min x GBP0.37/min x effective portal population x 12</t>
  </si>
  <si>
    <t>Depends on portal adoption — rated Medium as population estimate is Low confidence.</t>
  </si>
  <si>
    <t>Total confirmed hard savings (annual)</t>
  </si>
  <si>
    <t>Sum of above</t>
  </si>
  <si>
    <t>Blended confidence — C9 pulls from Low-confidence population figure.</t>
  </si>
  <si>
    <t>B. REVENUE UPLIFT SENSITIVITY MATRIX — LOW CONFIDENCE: Three scenarios required</t>
  </si>
  <si>
    <t>Scenario</t>
  </si>
  <si>
    <t>Plan Selection Uplift</t>
  </si>
  <si>
    <t>Promise Capture Uplift</t>
  </si>
  <si>
    <t>Combined Monthly Uplift</t>
  </si>
  <si>
    <t>Combined Annual Uplift</t>
  </si>
  <si>
    <t>Net Benefit (after GBP85k mid cost)</t>
  </si>
  <si>
    <t>Base (finance assumption)</t>
  </si>
  <si>
    <t>Conservative (50% haircut)</t>
  </si>
  <si>
    <t>Floor / Stress (75-80% haircut)</t>
  </si>
  <si>
    <t>C. COMBINED BUSINESS CASE — Hard Savings + Revenue Uplift</t>
  </si>
  <si>
    <t>Component</t>
  </si>
  <si>
    <t>Base Scenario</t>
  </si>
  <si>
    <t>Conservative Scenario</t>
  </si>
  <si>
    <t>Floor Scenario</t>
  </si>
  <si>
    <t>Confirmed hard savings (annual)</t>
  </si>
  <si>
    <t>Revenue uplift (annual)</t>
  </si>
  <si>
    <t>LOW CONFIDENCE — do not blend with hard savings</t>
  </si>
  <si>
    <t>Total annual benefit</t>
  </si>
  <si>
    <t>Implementation cost (mid-complexity)</t>
  </si>
  <si>
    <t>Net Year 1 benefit</t>
  </si>
  <si>
    <t>Positive in all three scenarios</t>
  </si>
  <si>
    <t>Simple payback period (months)</t>
  </si>
  <si>
    <t>12-month ROI</t>
  </si>
  <si>
    <t>SMART-RECOVERY INITIATIVE — ROI &amp; RANKING SUMMARY</t>
  </si>
  <si>
    <t>Tab 5: Final Ranked View — Value, Effort, Confidence, Phase Relevance</t>
  </si>
  <si>
    <t>RANKED OPPORTUNITY VIEW</t>
  </si>
  <si>
    <t>Effort</t>
  </si>
  <si>
    <t>Phase Recommendation</t>
  </si>
  <si>
    <t>AO-02: Automated Callback Triggering</t>
  </si>
  <si>
    <t>Low (GBP45k)</t>
  </si>
  <si>
    <t>Phase 1 — self-contained, no integration required</t>
  </si>
  <si>
    <t>AO-06: Automated Follow-Up Reminders</t>
  </si>
  <si>
    <t>Phase 1b — requires compliance sign-off</t>
  </si>
  <si>
    <t>AO-04: Customer Balance &amp; Account View</t>
  </si>
  <si>
    <t>Phase 1 — foundational portal function</t>
  </si>
  <si>
    <t>AO-01: Promise-to-Pay Self-Service</t>
  </si>
  <si>
    <t>Phase 1 — primary anchor journey</t>
  </si>
  <si>
    <t>AO-03: Real-Time Status Synchronisation</t>
  </si>
  <si>
    <t>Mid (GBP85k)</t>
  </si>
  <si>
    <t>Pre-Phase 1 — enables all other opportunities</t>
  </si>
  <si>
    <t>AO-05: Risk-Based Queue Prioritisation</t>
  </si>
  <si>
    <t>Phase 2 — requires clean status foundation first</t>
  </si>
  <si>
    <t>PHASE 1 COMBINED CASE</t>
  </si>
  <si>
    <t>Base</t>
  </si>
  <si>
    <t>Conservative</t>
  </si>
  <si>
    <t>Floor</t>
  </si>
  <si>
    <t>Hard savings — AO-01, AO-02, AO-03, AO-04</t>
  </si>
  <si>
    <t>High confidence — defensible with operational data</t>
  </si>
  <si>
    <t>Revenue uplift — combined (base/cons/floor)</t>
  </si>
  <si>
    <t>LOW CONFIDENCE — present separately from hard savings</t>
  </si>
  <si>
    <t>GBP85k — less than 9 days of base uplift</t>
  </si>
  <si>
    <t>Payback period (months)</t>
  </si>
  <si>
    <t>PHASE 1 MEASUREMENT FRAMEWORK</t>
  </si>
  <si>
    <t>Daniel Okoye confirmed: Phase 1 must include measurement infrastructure to validate attribution post-launch.</t>
  </si>
  <si>
    <t>Baseline (pre-launch)</t>
  </si>
  <si>
    <t>Target (90 days)</t>
  </si>
  <si>
    <t>Owner</t>
  </si>
  <si>
    <t>Links to</t>
  </si>
  <si>
    <t>Promise-to-Pay portal submission rate</t>
  </si>
  <si>
    <t>0% (no portal)</t>
  </si>
  <si>
    <t>Priya Nair</t>
  </si>
  <si>
    <t>AO-01, JTBD-04</t>
  </si>
  <si>
    <t>Awaiting Follow-Up backlog count</t>
  </si>
  <si>
    <t>643 accounts</t>
  </si>
  <si>
    <t>&lt; 300 accounts</t>
  </si>
  <si>
    <t>Amina Rahman</t>
  </si>
  <si>
    <t>AO-02, PP-02</t>
  </si>
  <si>
    <t>Duplicate activity rate</t>
  </si>
  <si>
    <t>20.4%</t>
  </si>
  <si>
    <t>&lt; 5%</t>
  </si>
  <si>
    <t>AO-03, PP-01</t>
  </si>
  <si>
    <t>Agent admin time as % of total</t>
  </si>
  <si>
    <t>34.2% (sample)</t>
  </si>
  <si>
    <t>&lt; 20%</t>
  </si>
  <si>
    <t>AO-03, PP-03</t>
  </si>
  <si>
    <t>14%</t>
  </si>
  <si>
    <t>&lt; 8%</t>
  </si>
  <si>
    <t>Daniel Okoye</t>
  </si>
  <si>
    <t>Portal adoption rate (eligible accounts)</t>
  </si>
  <si>
    <t>0%</t>
  </si>
  <si>
    <t>JTBD-01, AO-01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</si>
</sst>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0.0%"/>
    <numFmt numFmtId="166" formatCode="£#,##0"/>
  </numFmts>
  <fonts count="19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1.0"/>
      <color rgb="FFFFFFFF"/>
      <name val="Arial"/>
    </font>
    <font>
      <i/>
      <sz val="9.0"/>
      <color rgb="FF595959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b/>
      <sz val="10.0"/>
      <color rgb="FF0000FF"/>
      <name val="Arial"/>
    </font>
    <font>
      <sz val="10.0"/>
      <color rgb="FF000000"/>
      <name val="Arial"/>
    </font>
    <font>
      <i/>
      <sz val="9.0"/>
      <color rgb="FF000000"/>
      <name val="Arial"/>
    </font>
    <font>
      <b/>
      <sz val="10.0"/>
      <color rgb="FF375623"/>
      <name val="Arial"/>
    </font>
    <font>
      <sz val="9.0"/>
      <color rgb="FF000000"/>
      <name val="Arial"/>
    </font>
    <font>
      <b/>
      <sz val="10.0"/>
      <color rgb="FF7B4F00"/>
      <name val="Arial"/>
    </font>
    <font>
      <b/>
      <sz val="10.0"/>
      <color rgb="FFC00000"/>
      <name val="Arial"/>
    </font>
    <font>
      <i/>
      <sz val="9.0"/>
      <color rgb="FFC00000"/>
      <name val="Arial"/>
    </font>
    <font>
      <b/>
      <sz val="10.0"/>
      <color rgb="FF1F4E79"/>
      <name val="Arial"/>
    </font>
    <font>
      <sz val="10.0"/>
      <color rgb="FF0000FF"/>
      <name val="Arial"/>
    </font>
    <font>
      <b/>
      <sz val="11.0"/>
      <color rgb="FF000000"/>
      <name val="Arial"/>
    </font>
    <font>
      <i/>
      <sz val="9.0"/>
      <color rgb="FF7B4F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CE4EC"/>
        <bgColor rgb="FFFCE4EC"/>
      </patternFill>
    </fill>
    <fill>
      <patternFill patternType="solid">
        <fgColor rgb="FFF2F2F2"/>
        <bgColor rgb="FFF2F2F2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1" fillId="4" fontId="4" numFmtId="0" xfId="0" applyAlignment="1" applyBorder="1" applyFill="1" applyFont="1">
      <alignment horizontal="left" vertical="center"/>
    </xf>
    <xf borderId="4" fillId="2" fontId="5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4" fillId="5" fontId="6" numFmtId="0" xfId="0" applyAlignment="1" applyBorder="1" applyFill="1" applyFont="1">
      <alignment horizontal="left" vertical="center"/>
    </xf>
    <xf borderId="4" fillId="5" fontId="7" numFmtId="164" xfId="0" applyAlignment="1" applyBorder="1" applyFont="1" applyNumberFormat="1">
      <alignment horizontal="right" vertical="center"/>
    </xf>
    <xf borderId="4" fillId="5" fontId="8" numFmtId="0" xfId="0" applyAlignment="1" applyBorder="1" applyFont="1">
      <alignment horizontal="center" vertical="center"/>
    </xf>
    <xf borderId="4" fillId="5" fontId="9" numFmtId="0" xfId="0" applyAlignment="1" applyBorder="1" applyFont="1">
      <alignment horizontal="left" vertical="center"/>
    </xf>
    <xf borderId="4" fillId="6" fontId="10" numFmtId="0" xfId="0" applyAlignment="1" applyBorder="1" applyFill="1" applyFont="1">
      <alignment horizontal="center" vertical="center"/>
    </xf>
    <xf borderId="4" fillId="7" fontId="11" numFmtId="0" xfId="0" applyAlignment="1" applyBorder="1" applyFill="1" applyFont="1">
      <alignment horizontal="left" shrinkToFit="0" vertical="center" wrapText="1"/>
    </xf>
    <xf borderId="4" fillId="7" fontId="6" numFmtId="0" xfId="0" applyAlignment="1" applyBorder="1" applyFont="1">
      <alignment horizontal="left" vertical="center"/>
    </xf>
    <xf borderId="4" fillId="7" fontId="6" numFmtId="0" xfId="0" applyAlignment="1" applyBorder="1" applyFont="1">
      <alignment horizontal="right" vertical="center"/>
    </xf>
    <xf borderId="4" fillId="7" fontId="8" numFmtId="0" xfId="0" applyAlignment="1" applyBorder="1" applyFont="1">
      <alignment horizontal="center" vertical="center"/>
    </xf>
    <xf borderId="4" fillId="7" fontId="9" numFmtId="0" xfId="0" applyAlignment="1" applyBorder="1" applyFont="1">
      <alignment horizontal="left" vertical="center"/>
    </xf>
    <xf borderId="4" fillId="7" fontId="7" numFmtId="164" xfId="0" applyAlignment="1" applyBorder="1" applyFont="1" applyNumberFormat="1">
      <alignment horizontal="right" vertical="center"/>
    </xf>
    <xf borderId="4" fillId="5" fontId="12" numFmtId="0" xfId="0" applyAlignment="1" applyBorder="1" applyFont="1">
      <alignment horizontal="center" vertical="center"/>
    </xf>
    <xf borderId="4" fillId="7" fontId="6" numFmtId="164" xfId="0" applyAlignment="1" applyBorder="1" applyFont="1" applyNumberFormat="1">
      <alignment horizontal="right" vertical="center"/>
    </xf>
    <xf borderId="4" fillId="7" fontId="7" numFmtId="3" xfId="0" applyAlignment="1" applyBorder="1" applyFont="1" applyNumberFormat="1">
      <alignment horizontal="right" vertical="center"/>
    </xf>
    <xf borderId="4" fillId="7" fontId="7" numFmtId="165" xfId="0" applyAlignment="1" applyBorder="1" applyFont="1" applyNumberFormat="1">
      <alignment horizontal="right" vertical="center"/>
    </xf>
    <xf borderId="4" fillId="8" fontId="13" numFmtId="0" xfId="0" applyAlignment="1" applyBorder="1" applyFill="1" applyFont="1">
      <alignment horizontal="center" vertical="center"/>
    </xf>
    <xf borderId="4" fillId="7" fontId="7" numFmtId="166" xfId="0" applyAlignment="1" applyBorder="1" applyFont="1" applyNumberFormat="1">
      <alignment horizontal="right" vertical="center"/>
    </xf>
    <xf borderId="4" fillId="8" fontId="6" numFmtId="0" xfId="0" applyAlignment="1" applyBorder="1" applyFont="1">
      <alignment horizontal="left" vertical="center"/>
    </xf>
    <xf borderId="4" fillId="8" fontId="7" numFmtId="10" xfId="0" applyAlignment="1" applyBorder="1" applyFont="1" applyNumberFormat="1">
      <alignment horizontal="right" vertical="center"/>
    </xf>
    <xf borderId="4" fillId="8" fontId="8" numFmtId="0" xfId="0" applyAlignment="1" applyBorder="1" applyFont="1">
      <alignment horizontal="center" vertical="center"/>
    </xf>
    <xf borderId="4" fillId="8" fontId="9" numFmtId="0" xfId="0" applyAlignment="1" applyBorder="1" applyFont="1">
      <alignment horizontal="left" vertical="center"/>
    </xf>
    <xf borderId="4" fillId="8" fontId="11" numFmtId="0" xfId="0" applyAlignment="1" applyBorder="1" applyFont="1">
      <alignment horizontal="left" shrinkToFit="0" vertical="center" wrapText="1"/>
    </xf>
    <xf borderId="4" fillId="8" fontId="6" numFmtId="0" xfId="0" applyAlignment="1" applyBorder="1" applyFont="1">
      <alignment horizontal="right" vertical="center"/>
    </xf>
    <xf borderId="4" fillId="0" fontId="7" numFmtId="166" xfId="0" applyAlignment="1" applyBorder="1" applyFont="1" applyNumberFormat="1">
      <alignment horizontal="right" vertical="center"/>
    </xf>
    <xf borderId="4" fillId="0" fontId="6" numFmtId="0" xfId="0" applyAlignment="1" applyBorder="1" applyFont="1">
      <alignment horizontal="right" vertical="center"/>
    </xf>
    <xf borderId="4" fillId="0" fontId="6" numFmtId="3" xfId="0" applyAlignment="1" applyBorder="1" applyFont="1" applyNumberFormat="1">
      <alignment horizontal="right" vertical="center"/>
    </xf>
    <xf borderId="4" fillId="0" fontId="7" numFmtId="164" xfId="0" applyAlignment="1" applyBorder="1" applyFont="1" applyNumberFormat="1">
      <alignment horizontal="right" vertical="center"/>
    </xf>
    <xf borderId="4" fillId="0" fontId="6" numFmtId="165" xfId="0" applyAlignment="1" applyBorder="1" applyFont="1" applyNumberFormat="1">
      <alignment horizontal="right" vertical="center"/>
    </xf>
    <xf borderId="4" fillId="0" fontId="7" numFmtId="3" xfId="0" applyAlignment="1" applyBorder="1" applyFont="1" applyNumberFormat="1">
      <alignment horizontal="right" vertical="center"/>
    </xf>
    <xf borderId="4" fillId="0" fontId="6" numFmtId="164" xfId="0" applyAlignment="1" applyBorder="1" applyFont="1" applyNumberFormat="1">
      <alignment horizontal="right" vertical="center"/>
    </xf>
    <xf borderId="4" fillId="0" fontId="7" numFmtId="10" xfId="0" applyAlignment="1" applyBorder="1" applyFont="1" applyNumberFormat="1">
      <alignment horizontal="right" vertical="center"/>
    </xf>
    <xf borderId="4" fillId="0" fontId="6" numFmtId="166" xfId="0" applyAlignment="1" applyBorder="1" applyFont="1" applyNumberFormat="1">
      <alignment horizontal="right" vertical="center"/>
    </xf>
    <xf borderId="1" fillId="8" fontId="14" numFmtId="0" xfId="0" applyAlignment="1" applyBorder="1" applyFont="1">
      <alignment horizontal="left" vertical="center"/>
    </xf>
    <xf borderId="4" fillId="9" fontId="15" numFmtId="0" xfId="0" applyAlignment="1" applyBorder="1" applyFill="1" applyFont="1">
      <alignment horizontal="center" vertical="center"/>
    </xf>
    <xf borderId="4" fillId="9" fontId="6" numFmtId="0" xfId="0" applyAlignment="1" applyBorder="1" applyFont="1">
      <alignment horizontal="left" shrinkToFit="0" vertical="center" wrapText="1"/>
    </xf>
    <xf borderId="4" fillId="9" fontId="9" numFmtId="0" xfId="0" applyAlignment="1" applyBorder="1" applyFont="1">
      <alignment horizontal="left" shrinkToFit="0" vertical="center" wrapText="1"/>
    </xf>
    <xf borderId="4" fillId="9" fontId="16" numFmtId="166" xfId="0" applyAlignment="1" applyBorder="1" applyFont="1" applyNumberFormat="1">
      <alignment horizontal="right" vertical="center"/>
    </xf>
    <xf borderId="4" fillId="9" fontId="8" numFmtId="166" xfId="0" applyAlignment="1" applyBorder="1" applyFont="1" applyNumberFormat="1">
      <alignment horizontal="right" vertical="center"/>
    </xf>
    <xf borderId="4" fillId="4" fontId="6" numFmtId="166" xfId="0" applyAlignment="1" applyBorder="1" applyFont="1" applyNumberFormat="1">
      <alignment horizontal="right" vertical="center"/>
    </xf>
    <xf borderId="4" fillId="6" fontId="6" numFmtId="166" xfId="0" applyAlignment="1" applyBorder="1" applyFont="1" applyNumberFormat="1">
      <alignment horizontal="right" vertical="center"/>
    </xf>
    <xf borderId="4" fillId="9" fontId="11" numFmtId="0" xfId="0" applyAlignment="1" applyBorder="1" applyFont="1">
      <alignment horizontal="left" shrinkToFit="0" vertical="center" wrapText="1"/>
    </xf>
    <xf borderId="4" fillId="7" fontId="15" numFmtId="0" xfId="0" applyAlignment="1" applyBorder="1" applyFont="1">
      <alignment horizontal="center" vertical="center"/>
    </xf>
    <xf borderId="4" fillId="7" fontId="6" numFmtId="0" xfId="0" applyAlignment="1" applyBorder="1" applyFont="1">
      <alignment horizontal="left" shrinkToFit="0" vertical="center" wrapText="1"/>
    </xf>
    <xf borderId="4" fillId="7" fontId="9" numFmtId="0" xfId="0" applyAlignment="1" applyBorder="1" applyFont="1">
      <alignment horizontal="left" shrinkToFit="0" vertical="center" wrapText="1"/>
    </xf>
    <xf borderId="4" fillId="7" fontId="16" numFmtId="166" xfId="0" applyAlignment="1" applyBorder="1" applyFont="1" applyNumberFormat="1">
      <alignment horizontal="right" vertical="center"/>
    </xf>
    <xf borderId="4" fillId="7" fontId="8" numFmtId="166" xfId="0" applyAlignment="1" applyBorder="1" applyFont="1" applyNumberFormat="1">
      <alignment horizontal="right" vertical="center"/>
    </xf>
    <xf borderId="4" fillId="4" fontId="15" numFmtId="0" xfId="0" applyAlignment="1" applyBorder="1" applyFont="1">
      <alignment horizontal="center" vertical="center"/>
    </xf>
    <xf borderId="4" fillId="7" fontId="8" numFmtId="166" xfId="0" applyAlignment="1" applyBorder="1" applyFont="1" applyNumberFormat="1">
      <alignment horizontal="right" readingOrder="0" vertical="center"/>
    </xf>
    <xf borderId="4" fillId="6" fontId="6" numFmtId="0" xfId="0" applyAlignment="1" applyBorder="1" applyFont="1">
      <alignment horizontal="left" vertical="center"/>
    </xf>
    <xf borderId="4" fillId="6" fontId="11" numFmtId="0" xfId="0" applyAlignment="1" applyBorder="1" applyFont="1">
      <alignment horizontal="left" shrinkToFit="0" vertical="center" wrapText="1"/>
    </xf>
    <xf borderId="4" fillId="6" fontId="17" numFmtId="166" xfId="0" applyAlignment="1" applyBorder="1" applyFont="1" applyNumberFormat="1">
      <alignment horizontal="right" vertical="center"/>
    </xf>
    <xf borderId="4" fillId="6" fontId="9" numFmtId="0" xfId="0" applyAlignment="1" applyBorder="1" applyFont="1">
      <alignment horizontal="left" vertical="center"/>
    </xf>
    <xf borderId="4" fillId="5" fontId="11" numFmtId="0" xfId="0" applyAlignment="1" applyBorder="1" applyFont="1">
      <alignment horizontal="left" shrinkToFit="0" vertical="center" wrapText="1"/>
    </xf>
    <xf borderId="4" fillId="5" fontId="17" numFmtId="166" xfId="0" applyAlignment="1" applyBorder="1" applyFont="1" applyNumberFormat="1">
      <alignment horizontal="right" vertical="center"/>
    </xf>
    <xf borderId="4" fillId="8" fontId="6" numFmtId="10" xfId="0" applyAlignment="1" applyBorder="1" applyFont="1" applyNumberFormat="1">
      <alignment horizontal="right" vertical="center"/>
    </xf>
    <xf borderId="4" fillId="8" fontId="6" numFmtId="166" xfId="0" applyAlignment="1" applyBorder="1" applyFont="1" applyNumberFormat="1">
      <alignment horizontal="right" vertical="center"/>
    </xf>
    <xf borderId="4" fillId="5" fontId="6" numFmtId="10" xfId="0" applyAlignment="1" applyBorder="1" applyFont="1" applyNumberFormat="1">
      <alignment horizontal="right" vertical="center"/>
    </xf>
    <xf borderId="4" fillId="5" fontId="6" numFmtId="166" xfId="0" applyAlignment="1" applyBorder="1" applyFont="1" applyNumberFormat="1">
      <alignment horizontal="right" vertical="center"/>
    </xf>
    <xf borderId="4" fillId="6" fontId="6" numFmtId="10" xfId="0" applyAlignment="1" applyBorder="1" applyFont="1" applyNumberFormat="1">
      <alignment horizontal="right" vertical="center"/>
    </xf>
    <xf borderId="4" fillId="4" fontId="6" numFmtId="0" xfId="0" applyAlignment="1" applyBorder="1" applyFont="1">
      <alignment horizontal="left" vertical="center"/>
    </xf>
    <xf borderId="4" fillId="7" fontId="6" numFmtId="166" xfId="0" applyAlignment="1" applyBorder="1" applyFont="1" applyNumberFormat="1">
      <alignment horizontal="right" vertical="center"/>
    </xf>
    <xf borderId="4" fillId="4" fontId="6" numFmtId="165" xfId="0" applyAlignment="1" applyBorder="1" applyFont="1" applyNumberFormat="1">
      <alignment horizontal="right" vertical="center"/>
    </xf>
    <xf borderId="4" fillId="9" fontId="6" numFmtId="0" xfId="0" applyAlignment="1" applyBorder="1" applyFont="1">
      <alignment horizontal="left" vertical="center"/>
    </xf>
    <xf borderId="4" fillId="9" fontId="8" numFmtId="0" xfId="0" applyAlignment="1" applyBorder="1" applyFont="1">
      <alignment horizontal="center" vertical="center"/>
    </xf>
    <xf borderId="4" fillId="4" fontId="11" numFmtId="0" xfId="0" applyAlignment="1" applyBorder="1" applyFont="1">
      <alignment horizontal="left" shrinkToFit="0" vertical="center" wrapText="1"/>
    </xf>
    <xf borderId="4" fillId="8" fontId="17" numFmtId="166" xfId="0" applyAlignment="1" applyBorder="1" applyFont="1" applyNumberFormat="1">
      <alignment horizontal="right" vertical="center"/>
    </xf>
    <xf borderId="4" fillId="4" fontId="17" numFmtId="166" xfId="0" applyAlignment="1" applyBorder="1" applyFont="1" applyNumberFormat="1">
      <alignment horizontal="right" vertical="center"/>
    </xf>
    <xf borderId="4" fillId="4" fontId="17" numFmtId="165" xfId="0" applyAlignment="1" applyBorder="1" applyFont="1" applyNumberFormat="1">
      <alignment horizontal="right" vertical="center"/>
    </xf>
    <xf borderId="4" fillId="4" fontId="17" numFmtId="164" xfId="0" applyAlignment="1" applyBorder="1" applyFont="1" applyNumberFormat="1">
      <alignment horizontal="right" vertical="center"/>
    </xf>
    <xf borderId="1" fillId="5" fontId="18" numFmtId="0" xfId="0" applyAlignment="1" applyBorder="1" applyFont="1">
      <alignment horizontal="left" shrinkToFit="0" vertical="center" wrapText="1"/>
    </xf>
    <xf borderId="4" fillId="9" fontId="11" numFmtId="10" xfId="0" applyAlignment="1" applyBorder="1" applyFont="1" applyNumberFormat="1">
      <alignment horizontal="left" readingOrder="0" shrinkToFit="0" vertical="center" wrapText="1"/>
    </xf>
    <xf borderId="4" fillId="7" fontId="11" numFmtId="10" xfId="0" applyAlignment="1" applyBorder="1" applyFont="1" applyNumberForma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6.0"/>
    <col customWidth="1" min="2" max="2" width="18.0"/>
    <col customWidth="1" min="3" max="3" width="12.0"/>
    <col customWidth="1" min="4" max="4" width="14.0"/>
    <col customWidth="1" min="5" max="5" width="12.0"/>
    <col customWidth="1" min="6" max="6" width="50.0"/>
    <col customWidth="1" min="7" max="26" width="8.71"/>
  </cols>
  <sheetData>
    <row r="1" ht="24.0" customHeight="1">
      <c r="A1" s="1" t="s">
        <v>0</v>
      </c>
      <c r="B1" s="2"/>
      <c r="C1" s="2"/>
      <c r="D1" s="2"/>
      <c r="E1" s="2"/>
      <c r="F1" s="3"/>
    </row>
    <row r="2" ht="19.5" customHeight="1">
      <c r="A2" s="4" t="s">
        <v>1</v>
      </c>
      <c r="B2" s="2"/>
      <c r="C2" s="2"/>
      <c r="D2" s="2"/>
      <c r="E2" s="2"/>
      <c r="F2" s="3"/>
    </row>
    <row r="3">
      <c r="A3" s="5" t="s">
        <v>2</v>
      </c>
      <c r="B3" s="2"/>
      <c r="C3" s="2"/>
      <c r="D3" s="2"/>
      <c r="E3" s="2"/>
      <c r="F3" s="3"/>
    </row>
    <row r="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</row>
    <row r="6">
      <c r="A6" s="7" t="s">
        <v>9</v>
      </c>
      <c r="B6" s="8"/>
      <c r="C6" s="8"/>
      <c r="D6" s="8"/>
      <c r="E6" s="8"/>
      <c r="F6" s="9"/>
    </row>
    <row r="7">
      <c r="A7" s="10" t="s">
        <v>10</v>
      </c>
      <c r="B7" s="11">
        <v>22.0</v>
      </c>
      <c r="C7" s="12" t="s">
        <v>11</v>
      </c>
      <c r="D7" s="13" t="s">
        <v>12</v>
      </c>
      <c r="E7" s="14" t="s">
        <v>13</v>
      </c>
      <c r="F7" s="15" t="s">
        <v>14</v>
      </c>
    </row>
    <row r="8">
      <c r="A8" s="16" t="s">
        <v>15</v>
      </c>
      <c r="B8" s="17">
        <f>B7/60</f>
        <v>0.3666666667</v>
      </c>
      <c r="C8" s="18" t="s">
        <v>16</v>
      </c>
      <c r="D8" s="19" t="s">
        <v>17</v>
      </c>
      <c r="E8" s="14" t="s">
        <v>13</v>
      </c>
      <c r="F8" s="15" t="s">
        <v>18</v>
      </c>
    </row>
    <row r="9">
      <c r="A9" s="10" t="s">
        <v>19</v>
      </c>
      <c r="B9" s="11">
        <v>21.0</v>
      </c>
      <c r="C9" s="12" t="s">
        <v>20</v>
      </c>
      <c r="D9" s="13" t="s">
        <v>12</v>
      </c>
      <c r="E9" s="14" t="s">
        <v>13</v>
      </c>
      <c r="F9" s="15" t="s">
        <v>21</v>
      </c>
    </row>
    <row r="10">
      <c r="A10" s="10" t="s">
        <v>22</v>
      </c>
      <c r="B10" s="11">
        <v>7.5</v>
      </c>
      <c r="C10" s="12" t="s">
        <v>23</v>
      </c>
      <c r="D10" s="13" t="s">
        <v>24</v>
      </c>
      <c r="E10" s="14" t="s">
        <v>13</v>
      </c>
      <c r="F10" s="15" t="s">
        <v>25</v>
      </c>
    </row>
    <row r="11">
      <c r="A11" s="16" t="s">
        <v>26</v>
      </c>
      <c r="B11" s="17">
        <f>B9*B10</f>
        <v>157.5</v>
      </c>
      <c r="C11" s="18" t="s">
        <v>23</v>
      </c>
      <c r="D11" s="19" t="s">
        <v>27</v>
      </c>
      <c r="E11" s="14" t="s">
        <v>13</v>
      </c>
      <c r="F11" s="15" t="s">
        <v>28</v>
      </c>
    </row>
    <row r="12">
      <c r="A12" s="10" t="s">
        <v>29</v>
      </c>
      <c r="B12" s="11">
        <v>58.0</v>
      </c>
      <c r="C12" s="12" t="s">
        <v>30</v>
      </c>
      <c r="D12" s="13" t="s">
        <v>31</v>
      </c>
      <c r="E12" s="14" t="s">
        <v>13</v>
      </c>
      <c r="F12" s="15" t="s">
        <v>32</v>
      </c>
    </row>
    <row r="13">
      <c r="A13" s="16" t="s">
        <v>33</v>
      </c>
      <c r="B13" s="17">
        <f>B11*B12</f>
        <v>9135</v>
      </c>
      <c r="C13" s="18" t="s">
        <v>23</v>
      </c>
      <c r="D13" s="19" t="s">
        <v>27</v>
      </c>
      <c r="E13" s="14" t="s">
        <v>13</v>
      </c>
      <c r="F13" s="15" t="s">
        <v>34</v>
      </c>
    </row>
    <row r="14">
      <c r="A14" s="10" t="s">
        <v>35</v>
      </c>
      <c r="B14" s="11">
        <v>7.0</v>
      </c>
      <c r="C14" s="12" t="s">
        <v>36</v>
      </c>
      <c r="D14" s="13" t="s">
        <v>31</v>
      </c>
      <c r="E14" s="14" t="s">
        <v>13</v>
      </c>
      <c r="F14" s="15" t="s">
        <v>37</v>
      </c>
    </row>
    <row r="15">
      <c r="A15" s="10" t="s">
        <v>38</v>
      </c>
      <c r="B15" s="11">
        <v>18.0</v>
      </c>
      <c r="C15" s="12" t="s">
        <v>36</v>
      </c>
      <c r="D15" s="13" t="s">
        <v>12</v>
      </c>
      <c r="E15" s="14" t="s">
        <v>13</v>
      </c>
      <c r="F15" s="15" t="s">
        <v>39</v>
      </c>
    </row>
    <row r="16">
      <c r="A16" s="16" t="s">
        <v>40</v>
      </c>
      <c r="B16" s="20">
        <v>10.0</v>
      </c>
      <c r="C16" s="18" t="s">
        <v>36</v>
      </c>
      <c r="D16" s="19" t="s">
        <v>12</v>
      </c>
      <c r="E16" s="21" t="s">
        <v>41</v>
      </c>
      <c r="F16" s="15" t="s">
        <v>42</v>
      </c>
    </row>
    <row r="17">
      <c r="A17" s="16" t="s">
        <v>43</v>
      </c>
      <c r="B17" s="22">
        <f>B15-B16</f>
        <v>8</v>
      </c>
      <c r="C17" s="18" t="s">
        <v>36</v>
      </c>
      <c r="D17" s="19" t="s">
        <v>27</v>
      </c>
      <c r="E17" s="14" t="s">
        <v>13</v>
      </c>
      <c r="F17" s="15" t="s">
        <v>44</v>
      </c>
    </row>
    <row r="18">
      <c r="A18" s="16" t="s">
        <v>45</v>
      </c>
      <c r="B18" s="17">
        <f>B17*B8</f>
        <v>2.933333333</v>
      </c>
      <c r="C18" s="18" t="s">
        <v>46</v>
      </c>
      <c r="D18" s="19" t="s">
        <v>27</v>
      </c>
      <c r="E18" s="14" t="s">
        <v>13</v>
      </c>
      <c r="F18" s="15" t="s">
        <v>47</v>
      </c>
    </row>
    <row r="20">
      <c r="A20" s="7" t="s">
        <v>48</v>
      </c>
      <c r="B20" s="8"/>
      <c r="C20" s="8"/>
      <c r="D20" s="8"/>
      <c r="E20" s="8"/>
      <c r="F20" s="9"/>
    </row>
    <row r="21" ht="15.75" customHeight="1">
      <c r="A21" s="16" t="s">
        <v>49</v>
      </c>
      <c r="B21" s="23">
        <v>100000.0</v>
      </c>
      <c r="C21" s="18" t="s">
        <v>50</v>
      </c>
      <c r="D21" s="19" t="s">
        <v>51</v>
      </c>
      <c r="E21" s="14" t="s">
        <v>13</v>
      </c>
      <c r="F21" s="15" t="s">
        <v>52</v>
      </c>
    </row>
    <row r="22" ht="15.75" customHeight="1">
      <c r="A22" s="16" t="s">
        <v>53</v>
      </c>
      <c r="B22" s="23">
        <v>3246.0</v>
      </c>
      <c r="C22" s="18" t="s">
        <v>50</v>
      </c>
      <c r="D22" s="19" t="s">
        <v>54</v>
      </c>
      <c r="E22" s="14" t="s">
        <v>13</v>
      </c>
      <c r="F22" s="15" t="s">
        <v>55</v>
      </c>
    </row>
    <row r="23" ht="15.75" customHeight="1">
      <c r="A23" s="16" t="s">
        <v>56</v>
      </c>
      <c r="B23" s="24">
        <v>0.775</v>
      </c>
      <c r="C23" s="18" t="s">
        <v>57</v>
      </c>
      <c r="D23" s="19" t="s">
        <v>54</v>
      </c>
      <c r="E23" s="14" t="s">
        <v>13</v>
      </c>
      <c r="F23" s="15" t="s">
        <v>58</v>
      </c>
    </row>
    <row r="24" ht="15.75" customHeight="1">
      <c r="A24" s="16" t="s">
        <v>59</v>
      </c>
      <c r="B24" s="24">
        <v>0.38</v>
      </c>
      <c r="C24" s="18" t="s">
        <v>57</v>
      </c>
      <c r="D24" s="19" t="s">
        <v>12</v>
      </c>
      <c r="E24" s="21" t="s">
        <v>41</v>
      </c>
      <c r="F24" s="15" t="s">
        <v>60</v>
      </c>
    </row>
    <row r="25" ht="15.75" customHeight="1">
      <c r="A25" s="16" t="s">
        <v>61</v>
      </c>
      <c r="B25" s="24">
        <v>0.65</v>
      </c>
      <c r="C25" s="18" t="s">
        <v>57</v>
      </c>
      <c r="D25" s="19" t="s">
        <v>62</v>
      </c>
      <c r="E25" s="25" t="s">
        <v>63</v>
      </c>
      <c r="F25" s="15" t="s">
        <v>64</v>
      </c>
    </row>
    <row r="26" ht="15.75" customHeight="1">
      <c r="A26" s="16" t="s">
        <v>65</v>
      </c>
      <c r="B26" s="17">
        <f>B21*B23*B24*B25</f>
        <v>19142.5</v>
      </c>
      <c r="C26" s="18" t="s">
        <v>50</v>
      </c>
      <c r="D26" s="19" t="s">
        <v>66</v>
      </c>
      <c r="E26" s="25" t="s">
        <v>63</v>
      </c>
      <c r="F26" s="15" t="s">
        <v>67</v>
      </c>
    </row>
    <row r="27" ht="15.75" customHeight="1">
      <c r="A27" s="16" t="s">
        <v>68</v>
      </c>
      <c r="B27" s="26">
        <v>8000000.0</v>
      </c>
      <c r="C27" s="18" t="s">
        <v>69</v>
      </c>
      <c r="D27" s="19" t="s">
        <v>12</v>
      </c>
      <c r="E27" s="14" t="s">
        <v>13</v>
      </c>
      <c r="F27" s="15" t="s">
        <v>70</v>
      </c>
    </row>
    <row r="28" ht="15.75" customHeight="1">
      <c r="A28" s="16" t="s">
        <v>71</v>
      </c>
      <c r="B28" s="17">
        <f>B27*12</f>
        <v>96000000</v>
      </c>
      <c r="C28" s="18" t="s">
        <v>72</v>
      </c>
      <c r="D28" s="19" t="s">
        <v>27</v>
      </c>
      <c r="E28" s="14" t="s">
        <v>13</v>
      </c>
      <c r="F28" s="15" t="s">
        <v>73</v>
      </c>
    </row>
    <row r="29" ht="15.75" customHeight="1">
      <c r="A29" s="16" t="s">
        <v>74</v>
      </c>
      <c r="B29" s="24">
        <v>0.14</v>
      </c>
      <c r="C29" s="18" t="s">
        <v>57</v>
      </c>
      <c r="D29" s="19" t="s">
        <v>12</v>
      </c>
      <c r="E29" s="21" t="s">
        <v>41</v>
      </c>
      <c r="F29" s="15" t="s">
        <v>75</v>
      </c>
    </row>
    <row r="30" ht="15.75" customHeight="1">
      <c r="A30" s="16" t="s">
        <v>76</v>
      </c>
      <c r="B30" s="17">
        <f>B27*B29</f>
        <v>1120000</v>
      </c>
      <c r="C30" s="18" t="s">
        <v>69</v>
      </c>
      <c r="D30" s="19" t="s">
        <v>27</v>
      </c>
      <c r="E30" s="21" t="s">
        <v>41</v>
      </c>
      <c r="F30" s="15" t="s">
        <v>77</v>
      </c>
    </row>
    <row r="31" ht="15.75" customHeight="1">
      <c r="A31" s="16" t="s">
        <v>78</v>
      </c>
      <c r="B31" s="17">
        <f>B30*12</f>
        <v>13440000</v>
      </c>
      <c r="C31" s="18" t="s">
        <v>72</v>
      </c>
      <c r="D31" s="19" t="s">
        <v>27</v>
      </c>
      <c r="E31" s="21" t="s">
        <v>41</v>
      </c>
      <c r="F31" s="15" t="s">
        <v>79</v>
      </c>
    </row>
    <row r="32" ht="15.75" customHeight="1"/>
    <row r="33" ht="15.75" customHeight="1">
      <c r="A33" s="7" t="s">
        <v>80</v>
      </c>
      <c r="B33" s="8"/>
      <c r="C33" s="8"/>
      <c r="D33" s="8"/>
      <c r="E33" s="8"/>
      <c r="F33" s="9"/>
    </row>
    <row r="34" ht="15.75" customHeight="1">
      <c r="A34" s="27" t="s">
        <v>81</v>
      </c>
      <c r="B34" s="28">
        <v>0.04</v>
      </c>
      <c r="C34" s="29" t="s">
        <v>82</v>
      </c>
      <c r="D34" s="30" t="s">
        <v>12</v>
      </c>
      <c r="E34" s="25" t="s">
        <v>63</v>
      </c>
      <c r="F34" s="31" t="s">
        <v>83</v>
      </c>
    </row>
    <row r="35" ht="15.75" customHeight="1">
      <c r="A35" s="27" t="s">
        <v>84</v>
      </c>
      <c r="B35" s="28">
        <v>0.02</v>
      </c>
      <c r="C35" s="29" t="s">
        <v>82</v>
      </c>
      <c r="D35" s="30" t="s">
        <v>85</v>
      </c>
      <c r="E35" s="25" t="s">
        <v>63</v>
      </c>
      <c r="F35" s="31" t="s">
        <v>86</v>
      </c>
    </row>
    <row r="36" ht="15.75" customHeight="1">
      <c r="A36" s="27" t="s">
        <v>87</v>
      </c>
      <c r="B36" s="28">
        <v>0.01</v>
      </c>
      <c r="C36" s="29" t="s">
        <v>82</v>
      </c>
      <c r="D36" s="30" t="s">
        <v>85</v>
      </c>
      <c r="E36" s="25" t="s">
        <v>63</v>
      </c>
      <c r="F36" s="31" t="s">
        <v>88</v>
      </c>
    </row>
    <row r="37" ht="15.75" customHeight="1">
      <c r="A37" s="27" t="s">
        <v>89</v>
      </c>
      <c r="B37" s="28">
        <v>0.025</v>
      </c>
      <c r="C37" s="29" t="s">
        <v>82</v>
      </c>
      <c r="D37" s="30" t="s">
        <v>12</v>
      </c>
      <c r="E37" s="25" t="s">
        <v>63</v>
      </c>
      <c r="F37" s="31" t="s">
        <v>90</v>
      </c>
    </row>
    <row r="38" ht="15.75" customHeight="1">
      <c r="A38" s="27" t="s">
        <v>91</v>
      </c>
      <c r="B38" s="28">
        <v>0.0125</v>
      </c>
      <c r="C38" s="29" t="s">
        <v>82</v>
      </c>
      <c r="D38" s="30" t="s">
        <v>85</v>
      </c>
      <c r="E38" s="25" t="s">
        <v>63</v>
      </c>
      <c r="F38" s="31" t="s">
        <v>86</v>
      </c>
    </row>
    <row r="39" ht="15.75" customHeight="1">
      <c r="A39" s="27" t="s">
        <v>92</v>
      </c>
      <c r="B39" s="28">
        <v>0.005</v>
      </c>
      <c r="C39" s="29" t="s">
        <v>82</v>
      </c>
      <c r="D39" s="30" t="s">
        <v>85</v>
      </c>
      <c r="E39" s="25" t="s">
        <v>63</v>
      </c>
      <c r="F39" s="31" t="s">
        <v>93</v>
      </c>
    </row>
    <row r="40" ht="15.75" customHeight="1">
      <c r="A40" s="27" t="s">
        <v>94</v>
      </c>
      <c r="B40" s="32">
        <f>B27*B34</f>
        <v>320000</v>
      </c>
      <c r="C40" s="29" t="s">
        <v>69</v>
      </c>
      <c r="D40" s="30" t="s">
        <v>27</v>
      </c>
      <c r="E40" s="25" t="s">
        <v>63</v>
      </c>
      <c r="F40" s="31" t="s">
        <v>95</v>
      </c>
    </row>
    <row r="41" ht="15.75" customHeight="1">
      <c r="A41" s="27" t="s">
        <v>96</v>
      </c>
      <c r="B41" s="32">
        <f>B27*B37</f>
        <v>200000</v>
      </c>
      <c r="C41" s="29" t="s">
        <v>69</v>
      </c>
      <c r="D41" s="30" t="s">
        <v>27</v>
      </c>
      <c r="E41" s="25" t="s">
        <v>63</v>
      </c>
      <c r="F41" s="31" t="s">
        <v>97</v>
      </c>
    </row>
    <row r="42" ht="15.75" customHeight="1">
      <c r="A42" s="27" t="s">
        <v>98</v>
      </c>
      <c r="B42" s="32">
        <f>(B40+B41)*12</f>
        <v>6240000</v>
      </c>
      <c r="C42" s="29" t="s">
        <v>72</v>
      </c>
      <c r="D42" s="30" t="s">
        <v>27</v>
      </c>
      <c r="E42" s="25" t="s">
        <v>63</v>
      </c>
      <c r="F42" s="31" t="s">
        <v>99</v>
      </c>
    </row>
    <row r="43" ht="15.75" customHeight="1"/>
    <row r="44" ht="15.75" customHeight="1">
      <c r="A44" s="7" t="s">
        <v>100</v>
      </c>
      <c r="B44" s="8"/>
      <c r="C44" s="8"/>
      <c r="D44" s="8"/>
      <c r="E44" s="8"/>
      <c r="F44" s="9"/>
    </row>
    <row r="45" ht="15.75" customHeight="1">
      <c r="A45" s="16" t="s">
        <v>101</v>
      </c>
      <c r="B45" s="33">
        <v>45000.0</v>
      </c>
      <c r="C45" s="18" t="s">
        <v>102</v>
      </c>
      <c r="D45" s="19" t="s">
        <v>12</v>
      </c>
      <c r="E45" s="21" t="s">
        <v>41</v>
      </c>
      <c r="F45" s="15" t="s">
        <v>103</v>
      </c>
    </row>
    <row r="46" ht="15.75" customHeight="1">
      <c r="A46" s="16" t="s">
        <v>104</v>
      </c>
      <c r="B46" s="33">
        <v>85000.0</v>
      </c>
      <c r="C46" s="18" t="s">
        <v>102</v>
      </c>
      <c r="D46" s="19" t="s">
        <v>12</v>
      </c>
      <c r="E46" s="21" t="s">
        <v>41</v>
      </c>
      <c r="F46" s="15" t="s">
        <v>105</v>
      </c>
    </row>
    <row r="47" ht="15.75" customHeight="1">
      <c r="A47" s="16" t="s">
        <v>106</v>
      </c>
      <c r="B47" s="34">
        <f>B46/(B40+B41)*30</f>
        <v>4.903846154</v>
      </c>
      <c r="C47" s="18" t="s">
        <v>20</v>
      </c>
      <c r="D47" s="19" t="s">
        <v>27</v>
      </c>
      <c r="E47" s="25" t="s">
        <v>63</v>
      </c>
      <c r="F47" s="15" t="s">
        <v>107</v>
      </c>
    </row>
    <row r="48" ht="15.75" customHeight="1">
      <c r="A48" s="16" t="s">
        <v>108</v>
      </c>
      <c r="B48" s="33">
        <v>15000.0</v>
      </c>
      <c r="C48" s="18" t="s">
        <v>72</v>
      </c>
      <c r="D48" s="19" t="s">
        <v>109</v>
      </c>
      <c r="E48" s="25" t="s">
        <v>63</v>
      </c>
      <c r="F48" s="15" t="s">
        <v>110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A3:F3"/>
    <mergeCell ref="A6:F6"/>
    <mergeCell ref="A20:F20"/>
    <mergeCell ref="A33:F33"/>
    <mergeCell ref="A44:F4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8.0"/>
    <col customWidth="1" min="2" max="2" width="18.0"/>
    <col customWidth="1" min="3" max="3" width="12.0"/>
    <col customWidth="1" min="4" max="4" width="40.0"/>
    <col customWidth="1" min="5" max="5" width="14.0"/>
    <col customWidth="1" min="6" max="26" width="8.71"/>
  </cols>
  <sheetData>
    <row r="1">
      <c r="A1" s="1" t="s">
        <v>111</v>
      </c>
      <c r="B1" s="2"/>
      <c r="C1" s="2"/>
      <c r="D1" s="2"/>
      <c r="E1" s="3"/>
    </row>
    <row r="2">
      <c r="A2" s="4" t="s">
        <v>112</v>
      </c>
      <c r="B2" s="2"/>
      <c r="C2" s="2"/>
      <c r="D2" s="2"/>
      <c r="E2" s="3"/>
    </row>
    <row r="3">
      <c r="A3" s="5" t="s">
        <v>113</v>
      </c>
      <c r="B3" s="2"/>
      <c r="C3" s="2"/>
      <c r="D3" s="2"/>
      <c r="E3" s="3"/>
    </row>
    <row r="5">
      <c r="A5" s="6" t="s">
        <v>114</v>
      </c>
      <c r="B5" s="6" t="s">
        <v>4</v>
      </c>
      <c r="C5" s="6" t="s">
        <v>5</v>
      </c>
      <c r="D5" s="6" t="s">
        <v>115</v>
      </c>
      <c r="E5" s="6" t="s">
        <v>7</v>
      </c>
    </row>
    <row r="6">
      <c r="A6" s="7" t="s">
        <v>116</v>
      </c>
      <c r="B6" s="8"/>
      <c r="C6" s="8"/>
      <c r="D6" s="8"/>
      <c r="E6" s="9"/>
    </row>
    <row r="7">
      <c r="A7" s="16" t="s">
        <v>117</v>
      </c>
      <c r="B7" s="35">
        <f>'1. Assumptions'!B21</f>
        <v>100000</v>
      </c>
      <c r="C7" s="18" t="s">
        <v>50</v>
      </c>
      <c r="D7" s="15" t="s">
        <v>118</v>
      </c>
      <c r="E7" s="14" t="s">
        <v>13</v>
      </c>
    </row>
    <row r="8">
      <c r="A8" s="16" t="s">
        <v>119</v>
      </c>
      <c r="B8" s="35">
        <f>'1. Assumptions'!B22</f>
        <v>3246</v>
      </c>
      <c r="C8" s="18" t="s">
        <v>50</v>
      </c>
      <c r="D8" s="15" t="s">
        <v>54</v>
      </c>
      <c r="E8" s="14" t="s">
        <v>13</v>
      </c>
    </row>
    <row r="9">
      <c r="A9" s="16" t="s">
        <v>120</v>
      </c>
      <c r="B9" s="33">
        <v>2.6559357E7</v>
      </c>
      <c r="C9" s="18" t="s">
        <v>102</v>
      </c>
      <c r="D9" s="15" t="s">
        <v>121</v>
      </c>
      <c r="E9" s="21" t="s">
        <v>41</v>
      </c>
    </row>
    <row r="10">
      <c r="A10" s="16" t="s">
        <v>122</v>
      </c>
      <c r="B10" s="33">
        <v>3052004.0</v>
      </c>
      <c r="C10" s="18" t="s">
        <v>102</v>
      </c>
      <c r="D10" s="15" t="s">
        <v>54</v>
      </c>
      <c r="E10" s="14" t="s">
        <v>13</v>
      </c>
    </row>
    <row r="11">
      <c r="A11" s="16" t="s">
        <v>123</v>
      </c>
      <c r="B11" s="36">
        <v>37.0</v>
      </c>
      <c r="C11" s="18" t="s">
        <v>20</v>
      </c>
      <c r="D11" s="15" t="s">
        <v>54</v>
      </c>
      <c r="E11" s="14" t="s">
        <v>13</v>
      </c>
    </row>
    <row r="12">
      <c r="A12" s="16" t="s">
        <v>124</v>
      </c>
      <c r="B12" s="33">
        <v>8177.0</v>
      </c>
      <c r="C12" s="18" t="s">
        <v>102</v>
      </c>
      <c r="D12" s="15" t="s">
        <v>54</v>
      </c>
      <c r="E12" s="14" t="s">
        <v>13</v>
      </c>
    </row>
    <row r="13">
      <c r="A13" s="7" t="s">
        <v>125</v>
      </c>
      <c r="B13" s="8"/>
      <c r="C13" s="8"/>
      <c r="D13" s="8"/>
      <c r="E13" s="9"/>
    </row>
    <row r="14">
      <c r="A14" s="16" t="s">
        <v>126</v>
      </c>
      <c r="B14" s="37">
        <f>'1. Assumptions'!B23</f>
        <v>0.775</v>
      </c>
      <c r="C14" s="18" t="s">
        <v>82</v>
      </c>
      <c r="D14" s="15" t="s">
        <v>127</v>
      </c>
      <c r="E14" s="14" t="s">
        <v>13</v>
      </c>
    </row>
    <row r="15">
      <c r="A15" s="16" t="s">
        <v>128</v>
      </c>
      <c r="B15" s="34">
        <f>B7*B14</f>
        <v>77500</v>
      </c>
      <c r="C15" s="18" t="s">
        <v>50</v>
      </c>
      <c r="D15" s="15" t="s">
        <v>129</v>
      </c>
      <c r="E15" s="21" t="s">
        <v>41</v>
      </c>
    </row>
    <row r="16">
      <c r="A16" s="16" t="s">
        <v>130</v>
      </c>
      <c r="B16" s="37">
        <f>'1. Assumptions'!B24</f>
        <v>0.38</v>
      </c>
      <c r="C16" s="18" t="s">
        <v>82</v>
      </c>
      <c r="D16" s="15" t="s">
        <v>131</v>
      </c>
      <c r="E16" s="21" t="s">
        <v>41</v>
      </c>
    </row>
    <row r="17">
      <c r="A17" s="16" t="s">
        <v>132</v>
      </c>
      <c r="B17" s="37">
        <f>B14-B16</f>
        <v>0.395</v>
      </c>
      <c r="C17" s="18" t="s">
        <v>133</v>
      </c>
      <c r="D17" s="15" t="s">
        <v>134</v>
      </c>
      <c r="E17" s="14" t="s">
        <v>13</v>
      </c>
    </row>
    <row r="18">
      <c r="A18" s="16" t="s">
        <v>135</v>
      </c>
      <c r="B18" s="34">
        <f>'1. Assumptions'!B26</f>
        <v>19142.5</v>
      </c>
      <c r="C18" s="18" t="s">
        <v>50</v>
      </c>
      <c r="D18" s="15" t="s">
        <v>136</v>
      </c>
      <c r="E18" s="25" t="s">
        <v>63</v>
      </c>
    </row>
    <row r="19">
      <c r="A19" s="7" t="s">
        <v>137</v>
      </c>
      <c r="B19" s="8"/>
      <c r="C19" s="8"/>
      <c r="D19" s="8"/>
      <c r="E19" s="9"/>
    </row>
    <row r="20">
      <c r="A20" s="16" t="s">
        <v>138</v>
      </c>
      <c r="B20" s="38">
        <v>9890.0</v>
      </c>
      <c r="C20" s="18" t="s">
        <v>139</v>
      </c>
      <c r="D20" s="15" t="s">
        <v>31</v>
      </c>
      <c r="E20" s="14" t="s">
        <v>13</v>
      </c>
    </row>
    <row r="21" ht="15.75" customHeight="1">
      <c r="A21" s="16" t="s">
        <v>140</v>
      </c>
      <c r="B21" s="38">
        <v>1153.8</v>
      </c>
      <c r="C21" s="18" t="s">
        <v>141</v>
      </c>
      <c r="D21" s="15" t="s">
        <v>31</v>
      </c>
      <c r="E21" s="14" t="s">
        <v>13</v>
      </c>
    </row>
    <row r="22" ht="15.75" customHeight="1">
      <c r="A22" s="16" t="s">
        <v>142</v>
      </c>
      <c r="B22" s="39">
        <f>'1. Assumptions'!B14</f>
        <v>7</v>
      </c>
      <c r="C22" s="18" t="s">
        <v>36</v>
      </c>
      <c r="D22" s="15" t="s">
        <v>31</v>
      </c>
      <c r="E22" s="14" t="s">
        <v>13</v>
      </c>
    </row>
    <row r="23" ht="15.75" customHeight="1">
      <c r="A23" s="16" t="s">
        <v>143</v>
      </c>
      <c r="B23" s="38">
        <v>2020.0</v>
      </c>
      <c r="C23" s="18" t="s">
        <v>139</v>
      </c>
      <c r="D23" s="15" t="s">
        <v>31</v>
      </c>
      <c r="E23" s="14" t="s">
        <v>13</v>
      </c>
    </row>
    <row r="24" ht="15.75" customHeight="1">
      <c r="A24" s="16" t="s">
        <v>144</v>
      </c>
      <c r="B24" s="40">
        <v>0.204</v>
      </c>
      <c r="C24" s="18" t="s">
        <v>82</v>
      </c>
      <c r="D24" s="15" t="s">
        <v>145</v>
      </c>
      <c r="E24" s="14" t="s">
        <v>13</v>
      </c>
    </row>
    <row r="25" ht="15.75" customHeight="1">
      <c r="A25" s="16" t="s">
        <v>146</v>
      </c>
      <c r="B25" s="36">
        <v>230.1</v>
      </c>
      <c r="C25" s="18" t="s">
        <v>141</v>
      </c>
      <c r="D25" s="15" t="s">
        <v>147</v>
      </c>
      <c r="E25" s="14" t="s">
        <v>13</v>
      </c>
    </row>
    <row r="26" ht="15.75" customHeight="1">
      <c r="A26" s="16" t="s">
        <v>148</v>
      </c>
      <c r="B26" s="34">
        <f>B25*'1. Assumptions'!B7</f>
        <v>5062.2</v>
      </c>
      <c r="C26" s="18" t="s">
        <v>102</v>
      </c>
      <c r="D26" s="15" t="s">
        <v>149</v>
      </c>
      <c r="E26" s="14" t="s">
        <v>13</v>
      </c>
    </row>
    <row r="27" ht="15.75" customHeight="1">
      <c r="A27" s="16" t="s">
        <v>150</v>
      </c>
      <c r="B27" s="40">
        <v>0.342</v>
      </c>
      <c r="C27" s="18" t="s">
        <v>82</v>
      </c>
      <c r="D27" s="15" t="s">
        <v>151</v>
      </c>
      <c r="E27" s="14" t="s">
        <v>13</v>
      </c>
    </row>
    <row r="28" ht="15.75" customHeight="1">
      <c r="A28" s="16" t="s">
        <v>152</v>
      </c>
      <c r="B28" s="36">
        <v>394.6</v>
      </c>
      <c r="C28" s="18" t="s">
        <v>141</v>
      </c>
      <c r="D28" s="15" t="s">
        <v>31</v>
      </c>
      <c r="E28" s="14" t="s">
        <v>13</v>
      </c>
    </row>
    <row r="29" ht="15.75" customHeight="1">
      <c r="A29" s="16" t="s">
        <v>153</v>
      </c>
      <c r="B29" s="34">
        <f>B28*'1. Assumptions'!B7</f>
        <v>8681.2</v>
      </c>
      <c r="C29" s="18" t="s">
        <v>102</v>
      </c>
      <c r="D29" s="15" t="s">
        <v>154</v>
      </c>
      <c r="E29" s="14" t="s">
        <v>13</v>
      </c>
    </row>
    <row r="30" ht="15.75" customHeight="1">
      <c r="A30" s="16" t="s">
        <v>155</v>
      </c>
      <c r="B30" s="40">
        <v>0.723</v>
      </c>
      <c r="C30" s="18" t="s">
        <v>82</v>
      </c>
      <c r="D30" s="15" t="s">
        <v>156</v>
      </c>
      <c r="E30" s="14" t="s">
        <v>13</v>
      </c>
    </row>
    <row r="31" ht="15.75" customHeight="1">
      <c r="A31" s="16" t="s">
        <v>157</v>
      </c>
      <c r="B31" s="40">
        <v>0.69</v>
      </c>
      <c r="C31" s="18" t="s">
        <v>82</v>
      </c>
      <c r="D31" s="15" t="s">
        <v>158</v>
      </c>
      <c r="E31" s="14" t="s">
        <v>13</v>
      </c>
    </row>
    <row r="32" ht="15.75" customHeight="1">
      <c r="A32" s="16" t="s">
        <v>159</v>
      </c>
      <c r="B32" s="38">
        <v>1465.0</v>
      </c>
      <c r="C32" s="18" t="s">
        <v>139</v>
      </c>
      <c r="D32" s="15" t="s">
        <v>160</v>
      </c>
      <c r="E32" s="14" t="s">
        <v>13</v>
      </c>
    </row>
    <row r="33" ht="15.75" customHeight="1">
      <c r="A33" s="16" t="s">
        <v>161</v>
      </c>
      <c r="B33" s="36">
        <v>643.0</v>
      </c>
      <c r="C33" s="18" t="s">
        <v>50</v>
      </c>
      <c r="D33" s="15" t="s">
        <v>162</v>
      </c>
      <c r="E33" s="14" t="s">
        <v>13</v>
      </c>
    </row>
    <row r="34" ht="15.75" customHeight="1">
      <c r="A34" s="16" t="s">
        <v>163</v>
      </c>
      <c r="B34" s="36">
        <v>69.0</v>
      </c>
      <c r="C34" s="18" t="s">
        <v>50</v>
      </c>
      <c r="D34" s="15" t="s">
        <v>164</v>
      </c>
      <c r="E34" s="14" t="s">
        <v>13</v>
      </c>
    </row>
    <row r="35" ht="15.75" customHeight="1">
      <c r="A35" s="7" t="s">
        <v>165</v>
      </c>
      <c r="B35" s="8"/>
      <c r="C35" s="8"/>
      <c r="D35" s="8"/>
      <c r="E35" s="9"/>
    </row>
    <row r="36" ht="15.75" customHeight="1">
      <c r="A36" s="16" t="s">
        <v>68</v>
      </c>
      <c r="B36" s="41">
        <f>'1. Assumptions'!B27</f>
        <v>8000000</v>
      </c>
      <c r="C36" s="18" t="s">
        <v>69</v>
      </c>
      <c r="D36" s="15" t="s">
        <v>12</v>
      </c>
      <c r="E36" s="14" t="s">
        <v>13</v>
      </c>
    </row>
    <row r="37" ht="15.75" customHeight="1">
      <c r="A37" s="16" t="s">
        <v>166</v>
      </c>
      <c r="B37" s="34">
        <f>'1. Assumptions'!B28</f>
        <v>96000000</v>
      </c>
      <c r="C37" s="18" t="s">
        <v>72</v>
      </c>
      <c r="D37" s="15" t="s">
        <v>27</v>
      </c>
      <c r="E37" s="14" t="s">
        <v>13</v>
      </c>
    </row>
    <row r="38" ht="15.75" customHeight="1">
      <c r="A38" s="16" t="s">
        <v>74</v>
      </c>
      <c r="B38" s="37">
        <f>'1. Assumptions'!B29</f>
        <v>0.14</v>
      </c>
      <c r="C38" s="18" t="s">
        <v>82</v>
      </c>
      <c r="D38" s="15" t="s">
        <v>12</v>
      </c>
      <c r="E38" s="21" t="s">
        <v>41</v>
      </c>
    </row>
    <row r="39" ht="15.75" customHeight="1">
      <c r="A39" s="16" t="s">
        <v>76</v>
      </c>
      <c r="B39" s="34">
        <f>'1. Assumptions'!B30</f>
        <v>1120000</v>
      </c>
      <c r="C39" s="18" t="s">
        <v>69</v>
      </c>
      <c r="D39" s="15" t="s">
        <v>167</v>
      </c>
      <c r="E39" s="21" t="s">
        <v>41</v>
      </c>
    </row>
    <row r="40" ht="15.75" customHeight="1">
      <c r="A40" s="16" t="s">
        <v>168</v>
      </c>
      <c r="B40" s="34">
        <f>'1. Assumptions'!B31</f>
        <v>13440000</v>
      </c>
      <c r="C40" s="18" t="s">
        <v>72</v>
      </c>
      <c r="D40" s="15" t="s">
        <v>27</v>
      </c>
      <c r="E40" s="21" t="s">
        <v>41</v>
      </c>
    </row>
    <row r="41" ht="15.75" customHeight="1">
      <c r="A41" s="16" t="s">
        <v>169</v>
      </c>
      <c r="B41" s="33">
        <v>500000.0</v>
      </c>
      <c r="C41" s="18" t="s">
        <v>72</v>
      </c>
      <c r="D41" s="15" t="s">
        <v>170</v>
      </c>
      <c r="E41" s="25" t="s">
        <v>63</v>
      </c>
    </row>
    <row r="42" ht="15.75" customHeight="1">
      <c r="A42" s="16" t="s">
        <v>171</v>
      </c>
      <c r="B42" s="33">
        <v>672000.0</v>
      </c>
      <c r="C42" s="18" t="s">
        <v>72</v>
      </c>
      <c r="D42" s="15" t="s">
        <v>172</v>
      </c>
      <c r="E42" s="25" t="s">
        <v>63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2:E2"/>
    <mergeCell ref="A3:E3"/>
    <mergeCell ref="A6:E6"/>
    <mergeCell ref="A13:E13"/>
    <mergeCell ref="A19:E19"/>
    <mergeCell ref="A35:E35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5.0"/>
    <col customWidth="1" min="2" max="2" width="32.0"/>
    <col customWidth="1" min="3" max="3" width="22.0"/>
    <col customWidth="1" min="4" max="8" width="18.0"/>
    <col customWidth="1" min="9" max="9" width="30.0"/>
    <col customWidth="1" min="10" max="10" width="18.0"/>
    <col customWidth="1" min="11" max="26" width="8.71"/>
  </cols>
  <sheetData>
    <row r="1">
      <c r="A1" s="1" t="s">
        <v>173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174</v>
      </c>
      <c r="B2" s="2"/>
      <c r="C2" s="2"/>
      <c r="D2" s="2"/>
      <c r="E2" s="2"/>
      <c r="F2" s="2"/>
      <c r="G2" s="2"/>
      <c r="H2" s="2"/>
      <c r="I2" s="2"/>
      <c r="J2" s="3"/>
    </row>
    <row r="3">
      <c r="A3" s="42" t="s">
        <v>175</v>
      </c>
      <c r="B3" s="2"/>
      <c r="C3" s="2"/>
      <c r="D3" s="2"/>
      <c r="E3" s="2"/>
      <c r="F3" s="2"/>
      <c r="G3" s="2"/>
      <c r="H3" s="2"/>
      <c r="I3" s="2"/>
      <c r="J3" s="3"/>
    </row>
    <row r="5">
      <c r="A5" s="6" t="s">
        <v>176</v>
      </c>
      <c r="B5" s="6" t="s">
        <v>177</v>
      </c>
      <c r="C5" s="6" t="s">
        <v>178</v>
      </c>
      <c r="D5" s="6" t="s">
        <v>179</v>
      </c>
      <c r="E5" s="6" t="s">
        <v>180</v>
      </c>
      <c r="F5" s="6" t="s">
        <v>181</v>
      </c>
      <c r="G5" s="6" t="s">
        <v>182</v>
      </c>
      <c r="H5" s="6" t="s">
        <v>183</v>
      </c>
      <c r="I5" s="6" t="s">
        <v>184</v>
      </c>
      <c r="J5" s="6" t="s">
        <v>185</v>
      </c>
    </row>
    <row r="6">
      <c r="A6" s="43" t="s">
        <v>186</v>
      </c>
      <c r="B6" s="44" t="s">
        <v>187</v>
      </c>
      <c r="C6" s="45" t="s">
        <v>188</v>
      </c>
      <c r="D6" s="46">
        <v>45000.0</v>
      </c>
      <c r="E6" s="47">
        <f>'1. Assumptions'!B26*('1. Assumptions'!B17/60)*'1. Assumptions'!B7*12</f>
        <v>673816</v>
      </c>
      <c r="F6" s="47">
        <f>'1. Assumptions'!B27*'1. Assumptions'!B36*12</f>
        <v>960000</v>
      </c>
      <c r="G6" s="48">
        <f t="shared" ref="G6:G11" si="1">E6+F6</f>
        <v>1633816</v>
      </c>
      <c r="H6" s="49">
        <f t="shared" ref="H6:H11" si="2">G6-D6</f>
        <v>1588816</v>
      </c>
      <c r="I6" s="50" t="s">
        <v>189</v>
      </c>
      <c r="J6" s="14" t="s">
        <v>190</v>
      </c>
    </row>
    <row r="7">
      <c r="A7" s="51" t="s">
        <v>191</v>
      </c>
      <c r="B7" s="52" t="s">
        <v>192</v>
      </c>
      <c r="C7" s="53" t="s">
        <v>193</v>
      </c>
      <c r="D7" s="54">
        <v>45000.0</v>
      </c>
      <c r="E7" s="55">
        <f>'2. Baseline Metrics'!B25*'1. Assumptions'!B7*12</f>
        <v>60746.4</v>
      </c>
      <c r="F7" s="55">
        <f>'1. Assumptions'!B27*'1. Assumptions'!B29*0.3*12</f>
        <v>4032000</v>
      </c>
      <c r="G7" s="48">
        <f t="shared" si="1"/>
        <v>4092746.4</v>
      </c>
      <c r="H7" s="49">
        <f t="shared" si="2"/>
        <v>4047746.4</v>
      </c>
      <c r="I7" s="15" t="s">
        <v>194</v>
      </c>
      <c r="J7" s="14" t="s">
        <v>190</v>
      </c>
    </row>
    <row r="8">
      <c r="A8" s="43" t="s">
        <v>195</v>
      </c>
      <c r="B8" s="44" t="s">
        <v>196</v>
      </c>
      <c r="C8" s="45" t="s">
        <v>197</v>
      </c>
      <c r="D8" s="46">
        <v>85000.0</v>
      </c>
      <c r="E8" s="47">
        <f>'2. Baseline Metrics'!B28*'1. Assumptions'!B7*12*0.7</f>
        <v>72922.08</v>
      </c>
      <c r="F8" s="46">
        <f>'1. Assumptions'!B27*'1. Assumptions'!B29*0.1*12</f>
        <v>1344000</v>
      </c>
      <c r="G8" s="48">
        <f t="shared" si="1"/>
        <v>1416922.08</v>
      </c>
      <c r="H8" s="49">
        <f t="shared" si="2"/>
        <v>1331922.08</v>
      </c>
      <c r="I8" s="50" t="s">
        <v>198</v>
      </c>
      <c r="J8" s="25" t="s">
        <v>199</v>
      </c>
    </row>
    <row r="9">
      <c r="A9" s="51" t="s">
        <v>200</v>
      </c>
      <c r="B9" s="52" t="s">
        <v>201</v>
      </c>
      <c r="C9" s="53" t="s">
        <v>202</v>
      </c>
      <c r="D9" s="54">
        <v>45000.0</v>
      </c>
      <c r="E9" s="55">
        <f>'1. Assumptions'!B26*2*('1. Assumptions'!B14/60)*'1. Assumptions'!B7*12</f>
        <v>1179178</v>
      </c>
      <c r="F9" s="55">
        <f>'1. Assumptions'!B27*'1. Assumptions'!B34*0.5*12</f>
        <v>1920000</v>
      </c>
      <c r="G9" s="48">
        <f t="shared" si="1"/>
        <v>3099178</v>
      </c>
      <c r="H9" s="49">
        <f t="shared" si="2"/>
        <v>3054178</v>
      </c>
      <c r="I9" s="15" t="s">
        <v>203</v>
      </c>
      <c r="J9" s="14" t="s">
        <v>190</v>
      </c>
    </row>
    <row r="10">
      <c r="A10" s="43" t="s">
        <v>204</v>
      </c>
      <c r="B10" s="44" t="s">
        <v>205</v>
      </c>
      <c r="C10" s="45" t="s">
        <v>206</v>
      </c>
      <c r="D10" s="46">
        <v>85000.0</v>
      </c>
      <c r="E10" s="47">
        <f>'1. Assumptions'!B13*'1. Assumptions'!B7*0.05*12</f>
        <v>120582</v>
      </c>
      <c r="F10" s="47">
        <f>'1. Assumptions'!B27*0.01*12</f>
        <v>960000</v>
      </c>
      <c r="G10" s="48">
        <f t="shared" si="1"/>
        <v>1080582</v>
      </c>
      <c r="H10" s="49">
        <f t="shared" si="2"/>
        <v>995582</v>
      </c>
      <c r="I10" s="50" t="s">
        <v>207</v>
      </c>
      <c r="J10" s="56" t="s">
        <v>208</v>
      </c>
    </row>
    <row r="11">
      <c r="A11" s="51" t="s">
        <v>209</v>
      </c>
      <c r="B11" s="52" t="s">
        <v>210</v>
      </c>
      <c r="C11" s="53" t="s">
        <v>211</v>
      </c>
      <c r="D11" s="54">
        <v>45000.0</v>
      </c>
      <c r="E11" s="57">
        <f>306*('1. Assumptions'!B26/'2. Baseline Metrics'!B8)*'1. Assumptions'!B7*12</f>
        <v>476404.1035</v>
      </c>
      <c r="F11" s="55">
        <f>'1. Assumptions'!B27*'1. Assumptions'!B29*0.2*12</f>
        <v>2688000</v>
      </c>
      <c r="G11" s="48">
        <f t="shared" si="1"/>
        <v>3164404.104</v>
      </c>
      <c r="H11" s="49">
        <f t="shared" si="2"/>
        <v>3119404.104</v>
      </c>
      <c r="I11" s="15" t="s">
        <v>212</v>
      </c>
      <c r="J11" s="21" t="s">
        <v>213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J2"/>
    <mergeCell ref="A3:J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8.0"/>
    <col customWidth="1" min="2" max="5" width="20.0"/>
    <col customWidth="1" min="6" max="6" width="30.0"/>
    <col customWidth="1" min="7" max="26" width="8.71"/>
  </cols>
  <sheetData>
    <row r="1">
      <c r="A1" s="1" t="s">
        <v>214</v>
      </c>
      <c r="B1" s="2"/>
      <c r="C1" s="2"/>
      <c r="D1" s="2"/>
      <c r="E1" s="2"/>
      <c r="F1" s="3"/>
    </row>
    <row r="2">
      <c r="A2" s="4" t="s">
        <v>215</v>
      </c>
      <c r="B2" s="2"/>
      <c r="C2" s="2"/>
      <c r="D2" s="2"/>
      <c r="E2" s="2"/>
      <c r="F2" s="3"/>
    </row>
    <row r="3">
      <c r="A3" s="42" t="s">
        <v>216</v>
      </c>
      <c r="B3" s="2"/>
      <c r="C3" s="2"/>
      <c r="D3" s="2"/>
      <c r="E3" s="2"/>
      <c r="F3" s="3"/>
    </row>
    <row r="5">
      <c r="A5" s="7" t="s">
        <v>217</v>
      </c>
      <c r="B5" s="8"/>
      <c r="C5" s="8"/>
      <c r="D5" s="8"/>
      <c r="E5" s="8"/>
      <c r="F5" s="9"/>
    </row>
    <row r="6">
      <c r="A6" s="6" t="s">
        <v>218</v>
      </c>
      <c r="B6" s="6" t="s">
        <v>219</v>
      </c>
      <c r="C6" s="6" t="s">
        <v>220</v>
      </c>
      <c r="D6" s="6" t="s">
        <v>7</v>
      </c>
      <c r="E6" s="6" t="s">
        <v>6</v>
      </c>
      <c r="F6" s="6" t="s">
        <v>8</v>
      </c>
    </row>
    <row r="7">
      <c r="A7" s="58" t="s">
        <v>221</v>
      </c>
      <c r="B7" s="59" t="s">
        <v>222</v>
      </c>
      <c r="C7" s="60">
        <f>'1. Assumptions'!B7*230.1*12</f>
        <v>60746.4</v>
      </c>
      <c r="D7" s="14" t="s">
        <v>13</v>
      </c>
      <c r="E7" s="61" t="s">
        <v>223</v>
      </c>
      <c r="F7" s="59" t="s">
        <v>224</v>
      </c>
    </row>
    <row r="8">
      <c r="A8" s="58" t="s">
        <v>225</v>
      </c>
      <c r="B8" s="59" t="s">
        <v>226</v>
      </c>
      <c r="C8" s="60">
        <f>'1. Assumptions'!B7*394.6*12*0.5</f>
        <v>52087.2</v>
      </c>
      <c r="D8" s="14" t="s">
        <v>13</v>
      </c>
      <c r="E8" s="61" t="s">
        <v>223</v>
      </c>
      <c r="F8" s="59" t="s">
        <v>227</v>
      </c>
    </row>
    <row r="9">
      <c r="A9" s="10" t="s">
        <v>228</v>
      </c>
      <c r="B9" s="62" t="s">
        <v>229</v>
      </c>
      <c r="C9" s="63">
        <f>'1. Assumptions'!B26*('1. Assumptions'!B17/60)*'1. Assumptions'!B7</f>
        <v>56151.33333</v>
      </c>
      <c r="D9" s="21" t="s">
        <v>41</v>
      </c>
      <c r="E9" s="13" t="s">
        <v>12</v>
      </c>
      <c r="F9" s="62" t="s">
        <v>230</v>
      </c>
    </row>
    <row r="10">
      <c r="A10" s="10" t="s">
        <v>231</v>
      </c>
      <c r="B10" s="62" t="s">
        <v>232</v>
      </c>
      <c r="C10" s="63">
        <f>C7+C8+C9</f>
        <v>168984.9333</v>
      </c>
      <c r="D10" s="21" t="s">
        <v>41</v>
      </c>
      <c r="E10" s="13" t="s">
        <v>27</v>
      </c>
      <c r="F10" s="62" t="s">
        <v>233</v>
      </c>
    </row>
    <row r="12">
      <c r="A12" s="7" t="s">
        <v>234</v>
      </c>
      <c r="B12" s="8"/>
      <c r="C12" s="8"/>
      <c r="D12" s="8"/>
      <c r="E12" s="8"/>
      <c r="F12" s="9"/>
    </row>
    <row r="13">
      <c r="A13" s="6" t="s">
        <v>235</v>
      </c>
      <c r="B13" s="6" t="s">
        <v>236</v>
      </c>
      <c r="C13" s="6" t="s">
        <v>237</v>
      </c>
      <c r="D13" s="6" t="s">
        <v>238</v>
      </c>
      <c r="E13" s="6" t="s">
        <v>239</v>
      </c>
      <c r="F13" s="6" t="s">
        <v>240</v>
      </c>
    </row>
    <row r="14">
      <c r="A14" s="27" t="s">
        <v>241</v>
      </c>
      <c r="B14" s="64">
        <f>'1. Assumptions'!B34</f>
        <v>0.04</v>
      </c>
      <c r="C14" s="64">
        <f>'1. Assumptions'!B37</f>
        <v>0.025</v>
      </c>
      <c r="D14" s="65">
        <f>'1. Assumptions'!B27*(B14+C14)</f>
        <v>520000</v>
      </c>
      <c r="E14" s="65">
        <f t="shared" ref="E14:E16" si="1">D14*12</f>
        <v>6240000</v>
      </c>
      <c r="F14" s="65">
        <f>E14-'1. Assumptions'!B46</f>
        <v>6155000</v>
      </c>
    </row>
    <row r="15">
      <c r="A15" s="10" t="s">
        <v>242</v>
      </c>
      <c r="B15" s="66">
        <f>'1. Assumptions'!B35</f>
        <v>0.02</v>
      </c>
      <c r="C15" s="66">
        <f>'1. Assumptions'!B38</f>
        <v>0.0125</v>
      </c>
      <c r="D15" s="67">
        <f>'1. Assumptions'!B27*(B15+C15)</f>
        <v>260000</v>
      </c>
      <c r="E15" s="67">
        <f t="shared" si="1"/>
        <v>3120000</v>
      </c>
      <c r="F15" s="67">
        <f>E15-'1. Assumptions'!B46</f>
        <v>3035000</v>
      </c>
    </row>
    <row r="16">
      <c r="A16" s="58" t="s">
        <v>243</v>
      </c>
      <c r="B16" s="68">
        <f>'1. Assumptions'!B36</f>
        <v>0.01</v>
      </c>
      <c r="C16" s="68">
        <f>'1. Assumptions'!B39</f>
        <v>0.005</v>
      </c>
      <c r="D16" s="49">
        <f>'1. Assumptions'!B27*(B16+C16)</f>
        <v>120000</v>
      </c>
      <c r="E16" s="49">
        <f t="shared" si="1"/>
        <v>1440000</v>
      </c>
      <c r="F16" s="49">
        <f>E16-'1. Assumptions'!B46</f>
        <v>1355000</v>
      </c>
    </row>
    <row r="19">
      <c r="A19" s="7" t="s">
        <v>244</v>
      </c>
      <c r="B19" s="8"/>
      <c r="C19" s="8"/>
      <c r="D19" s="8"/>
      <c r="E19" s="8"/>
      <c r="F19" s="9"/>
    </row>
    <row r="20">
      <c r="A20" s="6" t="s">
        <v>245</v>
      </c>
      <c r="B20" s="6" t="s">
        <v>246</v>
      </c>
      <c r="C20" s="6" t="s">
        <v>247</v>
      </c>
      <c r="D20" s="6" t="s">
        <v>248</v>
      </c>
      <c r="E20" s="6" t="s">
        <v>7</v>
      </c>
      <c r="F20" s="6"/>
    </row>
    <row r="21" ht="15.75" customHeight="1">
      <c r="A21" s="58" t="s">
        <v>249</v>
      </c>
      <c r="B21" s="49">
        <f>C10</f>
        <v>168984.9333</v>
      </c>
      <c r="C21" s="49">
        <f>C10</f>
        <v>168984.9333</v>
      </c>
      <c r="D21" s="49">
        <f>C10</f>
        <v>168984.9333</v>
      </c>
      <c r="E21" s="21" t="s">
        <v>41</v>
      </c>
      <c r="F21" s="15"/>
    </row>
    <row r="22" ht="15.75" customHeight="1">
      <c r="A22" s="27" t="s">
        <v>250</v>
      </c>
      <c r="B22" s="65">
        <f>E14</f>
        <v>6240000</v>
      </c>
      <c r="C22" s="65">
        <f>E15</f>
        <v>3120000</v>
      </c>
      <c r="D22" s="65">
        <f>E16</f>
        <v>1440000</v>
      </c>
      <c r="E22" s="25" t="s">
        <v>63</v>
      </c>
      <c r="F22" s="15" t="s">
        <v>251</v>
      </c>
    </row>
    <row r="23" ht="15.75" customHeight="1">
      <c r="A23" s="69" t="s">
        <v>252</v>
      </c>
      <c r="B23" s="48">
        <f t="shared" ref="B23:D23" si="2">B21+B22</f>
        <v>6408984.933</v>
      </c>
      <c r="C23" s="48">
        <f t="shared" si="2"/>
        <v>3288984.933</v>
      </c>
      <c r="D23" s="48">
        <f t="shared" si="2"/>
        <v>1608984.933</v>
      </c>
      <c r="E23" s="25" t="s">
        <v>63</v>
      </c>
      <c r="F23" s="15"/>
    </row>
    <row r="24" ht="15.75" customHeight="1">
      <c r="A24" s="16" t="s">
        <v>253</v>
      </c>
      <c r="B24" s="70">
        <f>-'1. Assumptions'!B46</f>
        <v>-85000</v>
      </c>
      <c r="C24" s="70">
        <f>-'1. Assumptions'!B46</f>
        <v>-85000</v>
      </c>
      <c r="D24" s="70">
        <f>-'1. Assumptions'!B46</f>
        <v>-85000</v>
      </c>
      <c r="E24" s="21" t="s">
        <v>41</v>
      </c>
      <c r="F24" s="15"/>
    </row>
    <row r="25" ht="15.75" customHeight="1">
      <c r="A25" s="69" t="s">
        <v>254</v>
      </c>
      <c r="B25" s="48">
        <f t="shared" ref="B25:D25" si="3">B23+B24</f>
        <v>6323984.933</v>
      </c>
      <c r="C25" s="48">
        <f t="shared" si="3"/>
        <v>3203984.933</v>
      </c>
      <c r="D25" s="48">
        <f t="shared" si="3"/>
        <v>1523984.933</v>
      </c>
      <c r="E25" s="25" t="s">
        <v>63</v>
      </c>
      <c r="F25" s="15" t="s">
        <v>255</v>
      </c>
    </row>
    <row r="26" ht="15.75" customHeight="1">
      <c r="A26" s="16" t="s">
        <v>256</v>
      </c>
      <c r="B26" s="22">
        <f t="shared" ref="B26:D26" si="4">ABS(B24/(B23/12))</f>
        <v>0.1591515678</v>
      </c>
      <c r="C26" s="22">
        <f t="shared" si="4"/>
        <v>0.3101260786</v>
      </c>
      <c r="D26" s="22">
        <f t="shared" si="4"/>
        <v>0.6339400568</v>
      </c>
      <c r="E26" s="25" t="s">
        <v>63</v>
      </c>
      <c r="F26" s="15"/>
    </row>
    <row r="27" ht="15.75" customHeight="1">
      <c r="A27" s="69" t="s">
        <v>257</v>
      </c>
      <c r="B27" s="71">
        <f t="shared" ref="B27:D27" si="5">B25/ABS(B24)</f>
        <v>74.39982275</v>
      </c>
      <c r="C27" s="71">
        <f t="shared" si="5"/>
        <v>37.69394039</v>
      </c>
      <c r="D27" s="71">
        <f t="shared" si="5"/>
        <v>17.92923451</v>
      </c>
      <c r="E27" s="25" t="s">
        <v>63</v>
      </c>
      <c r="F27" s="1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F1"/>
    <mergeCell ref="A2:F2"/>
    <mergeCell ref="A3:F3"/>
    <mergeCell ref="A5:F5"/>
    <mergeCell ref="A12:F12"/>
    <mergeCell ref="A19:F19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6.0"/>
    <col customWidth="1" min="2" max="4" width="20.0"/>
    <col customWidth="1" min="5" max="5" width="36.0"/>
    <col customWidth="1" min="6" max="26" width="8.71"/>
  </cols>
  <sheetData>
    <row r="1">
      <c r="A1" s="1" t="s">
        <v>258</v>
      </c>
      <c r="B1" s="2"/>
      <c r="C1" s="2"/>
      <c r="D1" s="2"/>
      <c r="E1" s="3"/>
    </row>
    <row r="2">
      <c r="A2" s="4" t="s">
        <v>259</v>
      </c>
      <c r="B2" s="2"/>
      <c r="C2" s="2"/>
      <c r="D2" s="2"/>
      <c r="E2" s="3"/>
    </row>
    <row r="4">
      <c r="A4" s="7" t="s">
        <v>260</v>
      </c>
      <c r="B4" s="8"/>
      <c r="C4" s="8"/>
      <c r="D4" s="8"/>
      <c r="E4" s="9"/>
    </row>
    <row r="5">
      <c r="A5" s="6" t="s">
        <v>177</v>
      </c>
      <c r="B5" s="6" t="s">
        <v>183</v>
      </c>
      <c r="C5" s="6" t="s">
        <v>261</v>
      </c>
      <c r="D5" s="6" t="s">
        <v>7</v>
      </c>
      <c r="E5" s="6" t="s">
        <v>262</v>
      </c>
    </row>
    <row r="6">
      <c r="A6" s="16" t="s">
        <v>263</v>
      </c>
      <c r="B6" s="60">
        <f>'3. Opportunities'!H7</f>
        <v>4047746.4</v>
      </c>
      <c r="C6" s="18" t="s">
        <v>264</v>
      </c>
      <c r="D6" s="14" t="s">
        <v>13</v>
      </c>
      <c r="E6" s="59" t="s">
        <v>265</v>
      </c>
    </row>
    <row r="7">
      <c r="A7" s="72" t="s">
        <v>266</v>
      </c>
      <c r="B7" s="60">
        <f>'3. Opportunities'!H11</f>
        <v>3119404.104</v>
      </c>
      <c r="C7" s="73" t="s">
        <v>264</v>
      </c>
      <c r="D7" s="25" t="s">
        <v>63</v>
      </c>
      <c r="E7" s="62" t="s">
        <v>267</v>
      </c>
    </row>
    <row r="8">
      <c r="A8" s="16" t="s">
        <v>268</v>
      </c>
      <c r="B8" s="60">
        <f>'3. Opportunities'!H9</f>
        <v>3054178</v>
      </c>
      <c r="C8" s="18" t="s">
        <v>264</v>
      </c>
      <c r="D8" s="21" t="s">
        <v>41</v>
      </c>
      <c r="E8" s="59" t="s">
        <v>269</v>
      </c>
    </row>
    <row r="9">
      <c r="A9" s="72" t="s">
        <v>270</v>
      </c>
      <c r="B9" s="60">
        <f>'3. Opportunities'!H6</f>
        <v>1588816</v>
      </c>
      <c r="C9" s="73" t="s">
        <v>264</v>
      </c>
      <c r="D9" s="21" t="s">
        <v>41</v>
      </c>
      <c r="E9" s="59" t="s">
        <v>271</v>
      </c>
    </row>
    <row r="10">
      <c r="A10" s="72" t="s">
        <v>272</v>
      </c>
      <c r="B10" s="60">
        <f>'3. Opportunities'!H8</f>
        <v>1331922.08</v>
      </c>
      <c r="C10" s="73" t="s">
        <v>273</v>
      </c>
      <c r="D10" s="14" t="s">
        <v>13</v>
      </c>
      <c r="E10" s="31" t="s">
        <v>274</v>
      </c>
    </row>
    <row r="11">
      <c r="A11" s="16" t="s">
        <v>275</v>
      </c>
      <c r="B11" s="60">
        <f>'3. Opportunities'!H10</f>
        <v>995582</v>
      </c>
      <c r="C11" s="18" t="s">
        <v>273</v>
      </c>
      <c r="D11" s="25" t="s">
        <v>63</v>
      </c>
      <c r="E11" s="74" t="s">
        <v>276</v>
      </c>
    </row>
    <row r="13">
      <c r="A13" s="7" t="s">
        <v>277</v>
      </c>
      <c r="B13" s="8"/>
      <c r="C13" s="8"/>
      <c r="D13" s="8"/>
      <c r="E13" s="9"/>
    </row>
    <row r="14">
      <c r="A14" s="6" t="s">
        <v>245</v>
      </c>
      <c r="B14" s="6" t="s">
        <v>278</v>
      </c>
      <c r="C14" s="6" t="s">
        <v>279</v>
      </c>
      <c r="D14" s="6" t="s">
        <v>280</v>
      </c>
      <c r="E14" s="6" t="s">
        <v>8</v>
      </c>
    </row>
    <row r="15">
      <c r="A15" s="58" t="s">
        <v>281</v>
      </c>
      <c r="B15" s="60">
        <f>'4. Calculations'!B21</f>
        <v>168984.9333</v>
      </c>
      <c r="C15" s="60">
        <f>'4. Calculations'!C21</f>
        <v>168984.9333</v>
      </c>
      <c r="D15" s="60">
        <f>'4. Calculations'!D21</f>
        <v>168984.9333</v>
      </c>
      <c r="E15" s="59" t="s">
        <v>282</v>
      </c>
    </row>
    <row r="16">
      <c r="A16" s="27" t="s">
        <v>283</v>
      </c>
      <c r="B16" s="75">
        <f>'4. Calculations'!B22</f>
        <v>6240000</v>
      </c>
      <c r="C16" s="75">
        <f>'4. Calculations'!C22</f>
        <v>3120000</v>
      </c>
      <c r="D16" s="75">
        <f>'4. Calculations'!D22</f>
        <v>1440000</v>
      </c>
      <c r="E16" s="31" t="s">
        <v>284</v>
      </c>
    </row>
    <row r="17">
      <c r="A17" s="69" t="s">
        <v>252</v>
      </c>
      <c r="B17" s="76">
        <f>'4. Calculations'!B23</f>
        <v>6408984.933</v>
      </c>
      <c r="C17" s="76">
        <f>'4. Calculations'!C23</f>
        <v>3288984.933</v>
      </c>
      <c r="D17" s="76">
        <f>'4. Calculations'!D23</f>
        <v>1608984.933</v>
      </c>
      <c r="E17" s="74"/>
    </row>
    <row r="18">
      <c r="A18" s="27" t="s">
        <v>253</v>
      </c>
      <c r="B18" s="75">
        <f>'4. Calculations'!B24</f>
        <v>-85000</v>
      </c>
      <c r="C18" s="75">
        <f>'4. Calculations'!C24</f>
        <v>-85000</v>
      </c>
      <c r="D18" s="75">
        <f>'4. Calculations'!D24</f>
        <v>-85000</v>
      </c>
      <c r="E18" s="31" t="s">
        <v>285</v>
      </c>
    </row>
    <row r="19">
      <c r="A19" s="69" t="s">
        <v>254</v>
      </c>
      <c r="B19" s="76">
        <f>'4. Calculations'!B25</f>
        <v>6323984.933</v>
      </c>
      <c r="C19" s="76">
        <f>'4. Calculations'!C25</f>
        <v>3203984.933</v>
      </c>
      <c r="D19" s="76">
        <f>'4. Calculations'!D25</f>
        <v>1523984.933</v>
      </c>
      <c r="E19" s="74" t="s">
        <v>255</v>
      </c>
    </row>
    <row r="20">
      <c r="A20" s="69" t="s">
        <v>257</v>
      </c>
      <c r="B20" s="77">
        <f>'4. Calculations'!B27</f>
        <v>74.39982275</v>
      </c>
      <c r="C20" s="77">
        <f>'4. Calculations'!C27</f>
        <v>37.69394039</v>
      </c>
      <c r="D20" s="77">
        <f>'4. Calculations'!D27</f>
        <v>17.92923451</v>
      </c>
      <c r="E20" s="74"/>
    </row>
    <row r="21" ht="15.75" customHeight="1">
      <c r="A21" s="69" t="s">
        <v>286</v>
      </c>
      <c r="B21" s="78">
        <f>'4. Calculations'!B26</f>
        <v>0.1591515678</v>
      </c>
      <c r="C21" s="78">
        <f>'4. Calculations'!C26</f>
        <v>0.3101260786</v>
      </c>
      <c r="D21" s="78">
        <f>'4. Calculations'!D26</f>
        <v>0.6339400568</v>
      </c>
      <c r="E21" s="74"/>
    </row>
    <row r="22" ht="15.75" customHeight="1"/>
    <row r="23" ht="15.75" customHeight="1">
      <c r="A23" s="7" t="s">
        <v>287</v>
      </c>
      <c r="B23" s="8"/>
      <c r="C23" s="8"/>
      <c r="D23" s="8"/>
      <c r="E23" s="9"/>
    </row>
    <row r="24" ht="15.75" customHeight="1">
      <c r="A24" s="79" t="s">
        <v>288</v>
      </c>
      <c r="B24" s="2"/>
      <c r="C24" s="2"/>
      <c r="D24" s="2"/>
      <c r="E24" s="3"/>
    </row>
    <row r="25" ht="15.75" customHeight="1">
      <c r="A25" s="6" t="s">
        <v>114</v>
      </c>
      <c r="B25" s="6" t="s">
        <v>289</v>
      </c>
      <c r="C25" s="6" t="s">
        <v>290</v>
      </c>
      <c r="D25" s="6" t="s">
        <v>291</v>
      </c>
      <c r="E25" s="6" t="s">
        <v>292</v>
      </c>
    </row>
    <row r="26" ht="15.75" customHeight="1">
      <c r="A26" s="50" t="s">
        <v>293</v>
      </c>
      <c r="B26" s="50" t="s">
        <v>294</v>
      </c>
      <c r="C26" s="80">
        <v>0.191</v>
      </c>
      <c r="D26" s="50" t="s">
        <v>295</v>
      </c>
      <c r="E26" s="50" t="s">
        <v>296</v>
      </c>
    </row>
    <row r="27" ht="15.75" customHeight="1">
      <c r="A27" s="15" t="s">
        <v>297</v>
      </c>
      <c r="B27" s="15" t="s">
        <v>298</v>
      </c>
      <c r="C27" s="15" t="s">
        <v>299</v>
      </c>
      <c r="D27" s="15" t="s">
        <v>300</v>
      </c>
      <c r="E27" s="15" t="s">
        <v>301</v>
      </c>
    </row>
    <row r="28" ht="15.75" customHeight="1">
      <c r="A28" s="50" t="s">
        <v>302</v>
      </c>
      <c r="B28" s="50" t="s">
        <v>303</v>
      </c>
      <c r="C28" s="50" t="s">
        <v>304</v>
      </c>
      <c r="D28" s="50" t="s">
        <v>300</v>
      </c>
      <c r="E28" s="50" t="s">
        <v>305</v>
      </c>
    </row>
    <row r="29" ht="15.75" customHeight="1">
      <c r="A29" s="15" t="s">
        <v>306</v>
      </c>
      <c r="B29" s="15" t="s">
        <v>307</v>
      </c>
      <c r="C29" s="15" t="s">
        <v>308</v>
      </c>
      <c r="D29" s="15" t="s">
        <v>300</v>
      </c>
      <c r="E29" s="15" t="s">
        <v>309</v>
      </c>
    </row>
    <row r="30" ht="15.75" customHeight="1">
      <c r="A30" s="50" t="s">
        <v>74</v>
      </c>
      <c r="B30" s="50" t="s">
        <v>310</v>
      </c>
      <c r="C30" s="50" t="s">
        <v>311</v>
      </c>
      <c r="D30" s="50" t="s">
        <v>312</v>
      </c>
      <c r="E30" s="50" t="s">
        <v>301</v>
      </c>
    </row>
    <row r="31" ht="15.75" customHeight="1">
      <c r="A31" s="15" t="s">
        <v>313</v>
      </c>
      <c r="B31" s="15" t="s">
        <v>314</v>
      </c>
      <c r="C31" s="81">
        <v>0.65</v>
      </c>
      <c r="D31" s="15" t="s">
        <v>295</v>
      </c>
      <c r="E31" s="15" t="s">
        <v>315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E1"/>
    <mergeCell ref="A2:E2"/>
    <mergeCell ref="A4:E4"/>
    <mergeCell ref="A13:E13"/>
    <mergeCell ref="A23:E23"/>
    <mergeCell ref="A24:E2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2026-06-12T15:35:31Z</dcterms:created>
  <dc:creator>openpyxl</dc:creator>
</cp:coreProperties>
</file>